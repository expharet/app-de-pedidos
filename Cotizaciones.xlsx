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oliver/Code 1/Factura email/Documentacion/Precios/"/>
    </mc:Choice>
  </mc:AlternateContent>
  <xr:revisionPtr revIDLastSave="0" documentId="13_ncr:1_{EC45E8FE-63D8-3B47-B6BA-9724B64EFFC5}" xr6:coauthVersionLast="47" xr6:coauthVersionMax="47" xr10:uidLastSave="{00000000-0000-0000-0000-000000000000}"/>
  <bookViews>
    <workbookView xWindow="-32560" yWindow="1140" windowWidth="27340" windowHeight="21000" xr2:uid="{00000000-000D-0000-FFFF-FFFF00000000}"/>
  </bookViews>
  <sheets>
    <sheet name="CONFIGURACION" sheetId="1" r:id="rId1"/>
    <sheet name="TABLA PRECIOS" sheetId="2" r:id="rId2"/>
    <sheet name="TODOS DESTINO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4" i="3" l="1"/>
  <c r="AD4" i="3"/>
  <c r="AB4" i="3"/>
  <c r="AA4" i="3"/>
  <c r="Y4" i="3"/>
  <c r="X4" i="3"/>
  <c r="V4" i="3"/>
  <c r="U4" i="3"/>
  <c r="S4" i="3"/>
  <c r="R4" i="3"/>
  <c r="P4" i="3"/>
  <c r="O4" i="3"/>
  <c r="M4" i="3"/>
  <c r="L4" i="3"/>
  <c r="J4" i="3"/>
  <c r="I4" i="3"/>
  <c r="G4" i="3"/>
  <c r="F4" i="3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D64" i="1"/>
  <c r="C64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F63" i="1"/>
  <c r="E63" i="1"/>
  <c r="D63" i="1"/>
  <c r="C63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J62" i="1"/>
  <c r="I62" i="1"/>
  <c r="H62" i="1"/>
  <c r="G62" i="1"/>
  <c r="F62" i="1"/>
  <c r="E62" i="1"/>
  <c r="D62" i="1"/>
  <c r="C62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J61" i="1"/>
  <c r="I61" i="1"/>
  <c r="H61" i="1"/>
  <c r="G61" i="1"/>
  <c r="F61" i="1"/>
  <c r="E61" i="1"/>
  <c r="D61" i="1"/>
  <c r="C61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K60" i="1"/>
  <c r="J60" i="1"/>
  <c r="I60" i="1"/>
  <c r="H60" i="1"/>
  <c r="G60" i="1"/>
  <c r="F60" i="1"/>
  <c r="E60" i="1"/>
  <c r="D60" i="1"/>
  <c r="C60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C59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F58" i="1"/>
  <c r="E58" i="1"/>
  <c r="D58" i="1"/>
  <c r="C58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J57" i="1"/>
  <c r="I57" i="1"/>
  <c r="H57" i="1"/>
  <c r="G57" i="1"/>
  <c r="F57" i="1"/>
  <c r="E57" i="1"/>
  <c r="D57" i="1"/>
  <c r="C57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F50" i="1"/>
  <c r="E50" i="1"/>
  <c r="D50" i="1"/>
  <c r="C50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F49" i="1"/>
  <c r="E49" i="1"/>
  <c r="D49" i="1"/>
  <c r="C49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F48" i="1"/>
  <c r="E48" i="1"/>
  <c r="D48" i="1"/>
  <c r="C48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C47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C46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C45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  <c r="C44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E43" i="1"/>
  <c r="D43" i="1"/>
  <c r="C43" i="1"/>
  <c r="C12" i="1"/>
  <c r="C8" i="1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F25" i="2"/>
  <c r="F24" i="2"/>
  <c r="E23" i="2"/>
  <c r="E22" i="2"/>
  <c r="G21" i="2"/>
  <c r="F20" i="2"/>
  <c r="E20" i="2"/>
  <c r="F19" i="2"/>
  <c r="E19" i="2"/>
  <c r="F18" i="2"/>
  <c r="E18" i="2"/>
  <c r="H17" i="2"/>
  <c r="F17" i="2"/>
  <c r="E17" i="2"/>
  <c r="F16" i="2"/>
  <c r="E15" i="2"/>
  <c r="F14" i="2"/>
  <c r="E14" i="2"/>
  <c r="E13" i="2"/>
  <c r="E12" i="2"/>
  <c r="F11" i="2"/>
  <c r="E11" i="2"/>
  <c r="F10" i="2"/>
  <c r="E10" i="2"/>
  <c r="F9" i="2"/>
  <c r="E9" i="2"/>
  <c r="E8" i="2"/>
  <c r="E7" i="2"/>
  <c r="E4" i="2"/>
  <c r="C14" i="1" l="1"/>
  <c r="D39" i="1"/>
  <c r="D37" i="1"/>
  <c r="D36" i="1"/>
  <c r="D35" i="1"/>
  <c r="D34" i="1"/>
  <c r="M21" i="2" s="1"/>
  <c r="D32" i="1"/>
  <c r="D38" i="1"/>
  <c r="D33" i="1"/>
  <c r="M25" i="2"/>
  <c r="G25" i="2"/>
  <c r="M24" i="2"/>
  <c r="G24" i="2"/>
  <c r="G23" i="2"/>
  <c r="G22" i="2"/>
  <c r="H21" i="2"/>
  <c r="G20" i="2"/>
  <c r="G19" i="2"/>
  <c r="G18" i="2"/>
  <c r="I17" i="2"/>
  <c r="G16" i="2"/>
  <c r="M15" i="2"/>
  <c r="G15" i="2"/>
  <c r="M14" i="2"/>
  <c r="G14" i="2"/>
  <c r="M13" i="2"/>
  <c r="G13" i="2"/>
  <c r="M12" i="2"/>
  <c r="G12" i="2"/>
  <c r="M11" i="2"/>
  <c r="G11" i="2"/>
  <c r="M10" i="2"/>
  <c r="G10" i="2"/>
  <c r="M9" i="2"/>
  <c r="G9" i="2"/>
  <c r="M8" i="2"/>
  <c r="G8" i="2"/>
  <c r="G7" i="2"/>
  <c r="M7" i="2"/>
  <c r="J4" i="2"/>
  <c r="H4" i="2"/>
  <c r="M18" i="2" l="1"/>
  <c r="M19" i="2"/>
  <c r="M20" i="2"/>
  <c r="M17" i="2"/>
  <c r="M16" i="2"/>
  <c r="M22" i="2"/>
  <c r="M23" i="2"/>
  <c r="H25" i="2"/>
  <c r="I25" i="2"/>
  <c r="H24" i="2"/>
  <c r="I24" i="2"/>
  <c r="H23" i="2"/>
  <c r="I23" i="2"/>
  <c r="H22" i="2"/>
  <c r="I22" i="2"/>
  <c r="H20" i="2"/>
  <c r="H19" i="2"/>
  <c r="H18" i="2"/>
  <c r="I18" i="2"/>
  <c r="K17" i="2"/>
  <c r="L17" i="2"/>
  <c r="H16" i="2"/>
  <c r="H15" i="2"/>
  <c r="I15" i="2"/>
  <c r="H14" i="2"/>
  <c r="I14" i="2"/>
  <c r="H13" i="2"/>
  <c r="H12" i="2"/>
  <c r="H11" i="2"/>
  <c r="I11" i="2"/>
  <c r="H10" i="2"/>
  <c r="I10" i="2"/>
  <c r="H9" i="2"/>
  <c r="H8" i="2"/>
  <c r="I8" i="2"/>
  <c r="H7" i="2"/>
  <c r="I21" i="2"/>
  <c r="I12" i="2" l="1"/>
  <c r="I13" i="2"/>
  <c r="I19" i="2"/>
  <c r="I9" i="2"/>
  <c r="K25" i="2"/>
  <c r="K24" i="2"/>
  <c r="L24" i="2"/>
  <c r="K23" i="2"/>
  <c r="L23" i="2"/>
  <c r="N23" i="2" s="1"/>
  <c r="K22" i="2"/>
  <c r="K18" i="2"/>
  <c r="L18" i="2"/>
  <c r="N17" i="2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K15" i="2"/>
  <c r="K14" i="2"/>
  <c r="L14" i="2"/>
  <c r="K11" i="2"/>
  <c r="L11" i="2"/>
  <c r="K10" i="2"/>
  <c r="L10" i="2"/>
  <c r="K8" i="2"/>
  <c r="K21" i="2"/>
  <c r="I20" i="2"/>
  <c r="I16" i="2"/>
  <c r="I7" i="2"/>
  <c r="K12" i="2" l="1"/>
  <c r="K13" i="2"/>
  <c r="L15" i="2"/>
  <c r="L12" i="2"/>
  <c r="L8" i="2"/>
  <c r="K19" i="2"/>
  <c r="K9" i="2"/>
  <c r="L22" i="2"/>
  <c r="N24" i="2"/>
  <c r="O23" i="2"/>
  <c r="P23" i="2"/>
  <c r="Q23" i="2"/>
  <c r="R23" i="2"/>
  <c r="S23" i="2"/>
  <c r="T23" i="2"/>
  <c r="U23" i="2"/>
  <c r="V23" i="2"/>
  <c r="W23" i="2"/>
  <c r="X23" i="2"/>
  <c r="Y23" i="2"/>
  <c r="Z23" i="2"/>
  <c r="AA23" i="2"/>
  <c r="AB23" i="2"/>
  <c r="AC23" i="2"/>
  <c r="AD23" i="2"/>
  <c r="AE23" i="2"/>
  <c r="AF23" i="2"/>
  <c r="AG23" i="2"/>
  <c r="AH23" i="2"/>
  <c r="AI23" i="2"/>
  <c r="AJ23" i="2"/>
  <c r="AK23" i="2"/>
  <c r="AL23" i="2"/>
  <c r="N22" i="2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AB20" i="3"/>
  <c r="AC20" i="3"/>
  <c r="AD20" i="3"/>
  <c r="AE20" i="3"/>
  <c r="N18" i="2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AD16" i="3"/>
  <c r="AE16" i="3"/>
  <c r="P17" i="2"/>
  <c r="T17" i="2"/>
  <c r="U17" i="2"/>
  <c r="V17" i="2"/>
  <c r="W17" i="2"/>
  <c r="X17" i="2"/>
  <c r="Z17" i="2"/>
  <c r="AA17" i="2"/>
  <c r="AB17" i="2"/>
  <c r="AC17" i="2"/>
  <c r="AD17" i="2"/>
  <c r="AE17" i="2"/>
  <c r="AF17" i="2"/>
  <c r="AG17" i="2"/>
  <c r="AH17" i="2"/>
  <c r="AI17" i="2"/>
  <c r="AJ17" i="2"/>
  <c r="AK17" i="2"/>
  <c r="AL17" i="2"/>
  <c r="O17" i="2"/>
  <c r="Q17" i="2"/>
  <c r="R17" i="2"/>
  <c r="S17" i="2"/>
  <c r="Y17" i="2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AD13" i="3"/>
  <c r="AE13" i="3"/>
  <c r="N14" i="2"/>
  <c r="E12" i="3"/>
  <c r="F12" i="3"/>
  <c r="G12" i="3"/>
  <c r="H12" i="3"/>
  <c r="I12" i="3"/>
  <c r="J12" i="3"/>
  <c r="K12" i="3"/>
  <c r="L12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AA12" i="3"/>
  <c r="AB12" i="3"/>
  <c r="AC12" i="3"/>
  <c r="AD12" i="3"/>
  <c r="AE12" i="3"/>
  <c r="N11" i="2"/>
  <c r="E9" i="3"/>
  <c r="F9" i="3"/>
  <c r="G9" i="3"/>
  <c r="H9" i="3"/>
  <c r="I9" i="3"/>
  <c r="J9" i="3"/>
  <c r="K9" i="3"/>
  <c r="L9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AB9" i="3"/>
  <c r="AC9" i="3"/>
  <c r="AD9" i="3"/>
  <c r="AE9" i="3"/>
  <c r="N10" i="2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N8" i="2"/>
  <c r="E6" i="3"/>
  <c r="F6" i="3"/>
  <c r="G6" i="3"/>
  <c r="K20" i="2"/>
  <c r="K16" i="2"/>
  <c r="K7" i="2"/>
  <c r="L25" i="2"/>
  <c r="L21" i="2"/>
  <c r="L13" i="2" l="1"/>
  <c r="N15" i="2"/>
  <c r="H6" i="3"/>
  <c r="I6" i="3"/>
  <c r="J6" i="3"/>
  <c r="K6" i="3"/>
  <c r="L6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AB6" i="3"/>
  <c r="AC6" i="3"/>
  <c r="AD6" i="3"/>
  <c r="AE6" i="3"/>
  <c r="G10" i="3"/>
  <c r="L10" i="3"/>
  <c r="Q10" i="3"/>
  <c r="V10" i="3"/>
  <c r="AD10" i="3"/>
  <c r="I10" i="3"/>
  <c r="H10" i="3"/>
  <c r="O10" i="3"/>
  <c r="T10" i="3"/>
  <c r="Z10" i="3"/>
  <c r="E10" i="3"/>
  <c r="J10" i="3"/>
  <c r="N10" i="3"/>
  <c r="R10" i="3"/>
  <c r="X10" i="3"/>
  <c r="N12" i="2"/>
  <c r="F10" i="3"/>
  <c r="K10" i="3"/>
  <c r="M10" i="3"/>
  <c r="P10" i="3"/>
  <c r="S10" i="3"/>
  <c r="U10" i="3"/>
  <c r="AB10" i="3"/>
  <c r="W10" i="3"/>
  <c r="Y10" i="3"/>
  <c r="AA10" i="3"/>
  <c r="AC10" i="3"/>
  <c r="AE10" i="3"/>
  <c r="L9" i="2"/>
  <c r="L19" i="2"/>
  <c r="O24" i="2"/>
  <c r="P24" i="2"/>
  <c r="Q24" i="2"/>
  <c r="R24" i="2"/>
  <c r="S24" i="2"/>
  <c r="T24" i="2"/>
  <c r="U24" i="2"/>
  <c r="V24" i="2"/>
  <c r="W24" i="2"/>
  <c r="X24" i="2"/>
  <c r="Y24" i="2"/>
  <c r="Z24" i="2"/>
  <c r="AA24" i="2"/>
  <c r="AB24" i="2"/>
  <c r="AC24" i="2"/>
  <c r="AD24" i="2"/>
  <c r="AE24" i="2"/>
  <c r="AF24" i="2"/>
  <c r="AG24" i="2"/>
  <c r="AH24" i="2"/>
  <c r="AI24" i="2"/>
  <c r="AJ24" i="2"/>
  <c r="AK24" i="2"/>
  <c r="AL24" i="2"/>
  <c r="O22" i="2"/>
  <c r="P22" i="2"/>
  <c r="Q22" i="2"/>
  <c r="R22" i="2"/>
  <c r="S22" i="2"/>
  <c r="T22" i="2"/>
  <c r="U22" i="2"/>
  <c r="V22" i="2"/>
  <c r="W22" i="2"/>
  <c r="X22" i="2"/>
  <c r="Y22" i="2"/>
  <c r="Z22" i="2"/>
  <c r="AA22" i="2"/>
  <c r="AB22" i="2"/>
  <c r="AC22" i="2"/>
  <c r="AD22" i="2"/>
  <c r="AE22" i="2"/>
  <c r="AF22" i="2"/>
  <c r="AG22" i="2"/>
  <c r="AH22" i="2"/>
  <c r="AI22" i="2"/>
  <c r="AJ22" i="2"/>
  <c r="AK22" i="2"/>
  <c r="AL22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AB18" i="2"/>
  <c r="AC18" i="2"/>
  <c r="AD18" i="2"/>
  <c r="AE18" i="2"/>
  <c r="AF18" i="2"/>
  <c r="AG18" i="2"/>
  <c r="AH18" i="2"/>
  <c r="AI18" i="2"/>
  <c r="AJ18" i="2"/>
  <c r="AK18" i="2"/>
  <c r="AL18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AC14" i="2"/>
  <c r="AD14" i="2"/>
  <c r="AE14" i="2"/>
  <c r="AF14" i="2"/>
  <c r="AG14" i="2"/>
  <c r="AH14" i="2"/>
  <c r="AI14" i="2"/>
  <c r="AJ14" i="2"/>
  <c r="AK14" i="2"/>
  <c r="AL14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AF11" i="2"/>
  <c r="AG11" i="2"/>
  <c r="AH11" i="2"/>
  <c r="AI11" i="2"/>
  <c r="AJ11" i="2"/>
  <c r="AK11" i="2"/>
  <c r="AL11" i="2"/>
  <c r="O10" i="2"/>
  <c r="P10" i="2"/>
  <c r="Q10" i="2"/>
  <c r="R10" i="2"/>
  <c r="S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AJ10" i="2"/>
  <c r="AK10" i="2"/>
  <c r="AL10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AJ8" i="2"/>
  <c r="AK8" i="2"/>
  <c r="AL8" i="2"/>
  <c r="AE21" i="3"/>
  <c r="AD21" i="3"/>
  <c r="AC21" i="3"/>
  <c r="AB21" i="3"/>
  <c r="AA21" i="3"/>
  <c r="Z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I21" i="3"/>
  <c r="H21" i="3"/>
  <c r="G21" i="3"/>
  <c r="F21" i="3"/>
  <c r="E21" i="3"/>
  <c r="N25" i="2"/>
  <c r="AE19" i="3"/>
  <c r="AD19" i="3"/>
  <c r="AC19" i="3"/>
  <c r="AB19" i="3"/>
  <c r="AA19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J19" i="3"/>
  <c r="I19" i="3"/>
  <c r="H19" i="3"/>
  <c r="G19" i="3"/>
  <c r="F19" i="3"/>
  <c r="E19" i="3"/>
  <c r="N21" i="2"/>
  <c r="L20" i="2"/>
  <c r="L16" i="2"/>
  <c r="L7" i="2"/>
  <c r="Q15" i="2" l="1"/>
  <c r="Y15" i="2"/>
  <c r="AD15" i="2"/>
  <c r="P15" i="2"/>
  <c r="O15" i="2"/>
  <c r="R15" i="2"/>
  <c r="S15" i="2"/>
  <c r="T15" i="2"/>
  <c r="U15" i="2"/>
  <c r="V15" i="2"/>
  <c r="W15" i="2"/>
  <c r="X15" i="2"/>
  <c r="Z15" i="2"/>
  <c r="AA15" i="2"/>
  <c r="AB15" i="2"/>
  <c r="AC15" i="2"/>
  <c r="AE15" i="2"/>
  <c r="AF15" i="2"/>
  <c r="AG15" i="2"/>
  <c r="AH15" i="2"/>
  <c r="AI15" i="2"/>
  <c r="AJ15" i="2"/>
  <c r="AK15" i="2"/>
  <c r="AL15" i="2"/>
  <c r="AE11" i="3"/>
  <c r="AD11" i="3"/>
  <c r="AC11" i="3"/>
  <c r="AB11" i="3"/>
  <c r="AA11" i="3"/>
  <c r="Z11" i="3"/>
  <c r="Y11" i="3"/>
  <c r="X11" i="3"/>
  <c r="W11" i="3"/>
  <c r="V11" i="3"/>
  <c r="U11" i="3"/>
  <c r="T11" i="3"/>
  <c r="S11" i="3"/>
  <c r="R11" i="3"/>
  <c r="O11" i="3"/>
  <c r="L11" i="3"/>
  <c r="I11" i="3"/>
  <c r="H11" i="3"/>
  <c r="E11" i="3"/>
  <c r="Q11" i="3"/>
  <c r="N11" i="3"/>
  <c r="K11" i="3"/>
  <c r="F11" i="3"/>
  <c r="P11" i="3"/>
  <c r="M11" i="3"/>
  <c r="J11" i="3"/>
  <c r="G11" i="3"/>
  <c r="N13" i="2"/>
  <c r="Q7" i="3"/>
  <c r="Z7" i="3"/>
  <c r="E7" i="3"/>
  <c r="F7" i="3"/>
  <c r="H7" i="3"/>
  <c r="K7" i="3"/>
  <c r="L7" i="3"/>
  <c r="O7" i="3"/>
  <c r="R7" i="3"/>
  <c r="V7" i="3"/>
  <c r="Y7" i="3"/>
  <c r="N9" i="2"/>
  <c r="G7" i="3"/>
  <c r="J7" i="3"/>
  <c r="M7" i="3"/>
  <c r="P7" i="3"/>
  <c r="S7" i="3"/>
  <c r="U7" i="3"/>
  <c r="X7" i="3"/>
  <c r="AA7" i="3"/>
  <c r="AB7" i="3"/>
  <c r="AC7" i="3"/>
  <c r="AD7" i="3"/>
  <c r="AE7" i="3"/>
  <c r="I7" i="3"/>
  <c r="N7" i="3"/>
  <c r="W7" i="3"/>
  <c r="T7" i="3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AJ12" i="2"/>
  <c r="AL12" i="2"/>
  <c r="AK12" i="2"/>
  <c r="AE17" i="3"/>
  <c r="AD17" i="3"/>
  <c r="AC17" i="3"/>
  <c r="AB17" i="3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E17" i="3"/>
  <c r="N19" i="2"/>
  <c r="O25" i="2"/>
  <c r="P25" i="2"/>
  <c r="Q25" i="2"/>
  <c r="R25" i="2"/>
  <c r="S25" i="2"/>
  <c r="T25" i="2"/>
  <c r="U25" i="2"/>
  <c r="V25" i="2"/>
  <c r="W25" i="2"/>
  <c r="X25" i="2"/>
  <c r="Y25" i="2"/>
  <c r="Z25" i="2"/>
  <c r="AA25" i="2"/>
  <c r="O21" i="2"/>
  <c r="P21" i="2"/>
  <c r="Q21" i="2"/>
  <c r="R21" i="2"/>
  <c r="S21" i="2"/>
  <c r="T21" i="2"/>
  <c r="U21" i="2"/>
  <c r="V21" i="2"/>
  <c r="W21" i="2"/>
  <c r="X21" i="2"/>
  <c r="Y21" i="2"/>
  <c r="Z21" i="2"/>
  <c r="AA21" i="2"/>
  <c r="AB21" i="2"/>
  <c r="AC21" i="2"/>
  <c r="AD21" i="2"/>
  <c r="AE21" i="2"/>
  <c r="AF21" i="2"/>
  <c r="AG21" i="2"/>
  <c r="AH21" i="2"/>
  <c r="AI21" i="2"/>
  <c r="AJ21" i="2"/>
  <c r="AK21" i="2"/>
  <c r="AL21" i="2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N20" i="2"/>
  <c r="AE14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N16" i="2"/>
  <c r="Q5" i="3"/>
  <c r="N5" i="3"/>
  <c r="K5" i="3"/>
  <c r="H5" i="3"/>
  <c r="E5" i="3"/>
  <c r="S5" i="3"/>
  <c r="P5" i="3"/>
  <c r="M5" i="3"/>
  <c r="J5" i="3"/>
  <c r="I5" i="3"/>
  <c r="F5" i="3"/>
  <c r="AE5" i="3"/>
  <c r="AD5" i="3"/>
  <c r="AC5" i="3"/>
  <c r="AB5" i="3"/>
  <c r="AA5" i="3"/>
  <c r="Z5" i="3"/>
  <c r="Y5" i="3"/>
  <c r="X5" i="3"/>
  <c r="W5" i="3"/>
  <c r="V5" i="3"/>
  <c r="U5" i="3"/>
  <c r="T5" i="3"/>
  <c r="R5" i="3"/>
  <c r="O5" i="3"/>
  <c r="L5" i="3"/>
  <c r="G5" i="3"/>
  <c r="N7" i="2"/>
  <c r="AL13" i="2" l="1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R9" i="2"/>
  <c r="S9" i="2"/>
  <c r="U9" i="2"/>
  <c r="W9" i="2"/>
  <c r="O9" i="2"/>
  <c r="Q9" i="2"/>
  <c r="T9" i="2"/>
  <c r="V9" i="2"/>
  <c r="X9" i="2"/>
  <c r="Y9" i="2"/>
  <c r="Z9" i="2"/>
  <c r="AA9" i="2"/>
  <c r="AB9" i="2"/>
  <c r="AC9" i="2"/>
  <c r="AD9" i="2"/>
  <c r="AE9" i="2"/>
  <c r="AF9" i="2"/>
  <c r="AG9" i="2"/>
  <c r="AH9" i="2"/>
  <c r="AI9" i="2"/>
  <c r="AJ9" i="2"/>
  <c r="AK9" i="2"/>
  <c r="AL9" i="2"/>
  <c r="P9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AD20" i="2"/>
  <c r="AF20" i="2"/>
  <c r="AG20" i="2"/>
  <c r="AH20" i="2"/>
  <c r="AI20" i="2"/>
  <c r="AJ20" i="2"/>
  <c r="AK20" i="2"/>
  <c r="AL20" i="2"/>
  <c r="AE20" i="2"/>
  <c r="V16" i="2"/>
  <c r="W16" i="2"/>
  <c r="X16" i="2"/>
  <c r="AA16" i="2"/>
  <c r="O16" i="2"/>
  <c r="P16" i="2"/>
  <c r="Q16" i="2"/>
  <c r="R16" i="2"/>
  <c r="S16" i="2"/>
  <c r="T16" i="2"/>
  <c r="U16" i="2"/>
  <c r="Y16" i="2"/>
  <c r="Z16" i="2"/>
  <c r="AB16" i="2"/>
  <c r="AC16" i="2"/>
  <c r="AD16" i="2"/>
  <c r="AE16" i="2"/>
  <c r="AF16" i="2"/>
  <c r="AG16" i="2"/>
  <c r="AH16" i="2"/>
  <c r="AI16" i="2"/>
  <c r="AJ16" i="2"/>
  <c r="AK16" i="2"/>
  <c r="AL16" i="2"/>
  <c r="P7" i="2"/>
  <c r="Q7" i="2"/>
  <c r="R7" i="2"/>
  <c r="S7" i="2"/>
  <c r="U7" i="2"/>
  <c r="AG7" i="2"/>
  <c r="AH7" i="2"/>
  <c r="AI7" i="2"/>
  <c r="AJ7" i="2"/>
  <c r="AK7" i="2"/>
  <c r="AL7" i="2"/>
  <c r="O7" i="2"/>
  <c r="T7" i="2"/>
  <c r="V7" i="2"/>
  <c r="W7" i="2"/>
  <c r="X7" i="2"/>
  <c r="Y7" i="2"/>
  <c r="Z7" i="2"/>
  <c r="AA7" i="2"/>
  <c r="AB7" i="2"/>
  <c r="AC7" i="2"/>
  <c r="AD7" i="2"/>
  <c r="AE7" i="2"/>
  <c r="AF7" i="2"/>
</calcChain>
</file>

<file path=xl/sharedStrings.xml><?xml version="1.0" encoding="utf-8"?>
<sst xmlns="http://schemas.openxmlformats.org/spreadsheetml/2006/main" count="309" uniqueCount="219">
  <si>
    <t>EXPORT HARET  ·  TABLA DE PRECIOS  ·  VIGENTE DESDE 12/05/2026</t>
  </si>
  <si>
    <t>Precios USD/caja  ·  Pallets incluyen DUE distribuido  ·  EUR = USD ÷ tipo de cambio BCE</t>
  </si>
  <si>
    <t>DESTINO:</t>
  </si>
  <si>
    <t>París/Francia</t>
  </si>
  <si>
    <t>TIPO CAMBIO:</t>
  </si>
  <si>
    <t>⇄</t>
  </si>
  <si>
    <t>← BCE / manual</t>
  </si>
  <si>
    <t>Código</t>
  </si>
  <si>
    <t>Producto</t>
  </si>
  <si>
    <t>Kg
caja</t>
  </si>
  <si>
    <t>Precio
compra</t>
  </si>
  <si>
    <t>Costo
caja</t>
  </si>
  <si>
    <t>FOB
base</t>
  </si>
  <si>
    <t>Merma</t>
  </si>
  <si>
    <t>FOB+
Merma</t>
  </si>
  <si>
    <t>Margen
%</t>
  </si>
  <si>
    <t>Margen
$</t>
  </si>
  <si>
    <t>Precio
FOB Final</t>
  </si>
  <si>
    <t>Flete
$/caja</t>
  </si>
  <si>
    <t>CIF
USD</t>
  </si>
  <si>
    <t>CIF
$/kg</t>
  </si>
  <si>
    <t>USD
1 Pal</t>
  </si>
  <si>
    <t>USD
2 Pal</t>
  </si>
  <si>
    <t>USD
3 Pal</t>
  </si>
  <si>
    <t>USD
4 Pal</t>
  </si>
  <si>
    <t>USD
5 Pal</t>
  </si>
  <si>
    <t>USD
6 Pal</t>
  </si>
  <si>
    <t>USD
7 Pal</t>
  </si>
  <si>
    <t>USD
8 Pal</t>
  </si>
  <si>
    <t>USD
9 Pal</t>
  </si>
  <si>
    <t>USD
10 Pal</t>
  </si>
  <si>
    <t>USD
11 Pal</t>
  </si>
  <si>
    <t>USD
12 Pal</t>
  </si>
  <si>
    <t>USD
13 Pal</t>
  </si>
  <si>
    <t>USD
14 Pal</t>
  </si>
  <si>
    <t>USD
15 Pal</t>
  </si>
  <si>
    <t>USD
16 Pal</t>
  </si>
  <si>
    <t>USD
17 Pal</t>
  </si>
  <si>
    <t>USD
18 Pal</t>
  </si>
  <si>
    <t>USD
19 Pal</t>
  </si>
  <si>
    <t>USD
20 Pal</t>
  </si>
  <si>
    <t>USD
21 Pal</t>
  </si>
  <si>
    <t>USD
22 Pal</t>
  </si>
  <si>
    <t>USD
23 Pal</t>
  </si>
  <si>
    <t>F-PSG10</t>
  </si>
  <si>
    <t>Granadilla</t>
  </si>
  <si>
    <t>F-PN016</t>
  </si>
  <si>
    <t>Lulo</t>
  </si>
  <si>
    <t>F-PPA01</t>
  </si>
  <si>
    <t>Amarilla P</t>
  </si>
  <si>
    <t>F-PSR02</t>
  </si>
  <si>
    <t>Roja P</t>
  </si>
  <si>
    <t>F-PSR05</t>
  </si>
  <si>
    <t>Blanca P</t>
  </si>
  <si>
    <t>F-PSM09</t>
  </si>
  <si>
    <t>Maracuyá</t>
  </si>
  <si>
    <t>F-TAS04</t>
  </si>
  <si>
    <t>Tomate de árbol</t>
  </si>
  <si>
    <t>F-GNB010</t>
  </si>
  <si>
    <t>Guanabana</t>
  </si>
  <si>
    <t>F-MPS03</t>
  </si>
  <si>
    <t>Melon dulce</t>
  </si>
  <si>
    <t>F-CCN017</t>
  </si>
  <si>
    <t>Cacao</t>
  </si>
  <si>
    <t>F-BCC013</t>
  </si>
  <si>
    <t>Babaco</t>
  </si>
  <si>
    <t>F-AHSS012</t>
  </si>
  <si>
    <t>Aguacate</t>
  </si>
  <si>
    <t>F-BBB06</t>
  </si>
  <si>
    <t>Baby banano</t>
  </si>
  <si>
    <t>F-ZPT020</t>
  </si>
  <si>
    <t>Zapote Mamey</t>
  </si>
  <si>
    <t>F-TX020</t>
  </si>
  <si>
    <t>Taxo</t>
  </si>
  <si>
    <t>F-UVP08</t>
  </si>
  <si>
    <t>Physalis</t>
  </si>
  <si>
    <t>F-UVP07</t>
  </si>
  <si>
    <t>Physalis - husk</t>
  </si>
  <si>
    <t>F-SLK011</t>
  </si>
  <si>
    <t>Salack</t>
  </si>
  <si>
    <t>F-CAZ021</t>
  </si>
  <si>
    <t>Caña de azúcar</t>
  </si>
  <si>
    <t>ℹ  Cambiar destino en C4 → flete se actualiza solo  ·  Cambiar DUE/cajas en CONFIGURACION → pallets se actualizan solos  ·  Tipo de cambio: actualización automática BCE al abrir (o manual en CONFIGURACION C13)  ·  Fórmula flete: Tarifa × (kg neto + tara + peso pallet ÷ cajas/pallet)</t>
  </si>
  <si>
    <t>HISTORIAL SEMANAL DE PRECIOS  ·  Añade una fila por semana con los precios nuevos  ·  La tabla de arriba se actualiza automáticamente con el último precio ingresado</t>
  </si>
  <si>
    <t>Semana
#</t>
  </si>
  <si>
    <t>Fecha</t>
  </si>
  <si>
    <t>Granadilla
$/caja</t>
  </si>
  <si>
    <t>Lulo
$/caja</t>
  </si>
  <si>
    <t>Amarilla P
$/caja</t>
  </si>
  <si>
    <t>Roja P
$/caja</t>
  </si>
  <si>
    <t>Blanca P
$/caja</t>
  </si>
  <si>
    <t>Maracuyá
$/caja</t>
  </si>
  <si>
    <t>Tomate de árbol
$/caja</t>
  </si>
  <si>
    <t>Guanabana
$/caja</t>
  </si>
  <si>
    <t>Melon dulce
$/caja</t>
  </si>
  <si>
    <t>Cacao
$/caja</t>
  </si>
  <si>
    <t>Babaco
$/caja</t>
  </si>
  <si>
    <t>Aguacate
$/caja</t>
  </si>
  <si>
    <t>Baby banano
$/caja</t>
  </si>
  <si>
    <t>Zapote
$/caja</t>
  </si>
  <si>
    <t>Taxo
$/caja</t>
  </si>
  <si>
    <t>Physalis
$/caja</t>
  </si>
  <si>
    <t>Physalis - husk
$/caja</t>
  </si>
  <si>
    <t>Notas</t>
  </si>
  <si>
    <t>12/05/2026</t>
  </si>
  <si>
    <t>Precios iniciales mayo 2026</t>
  </si>
  <si>
    <t>▶  CÓMO ACTUALIZAR:  1) Ir a la primera fila vacía  2) Escribir la fecha del lunes de esa semana  3) Ingresar los nuevos precios de compra por producto  4) La tabla de precios superior se actualiza automáticamente</t>
  </si>
  <si>
    <t>EXPORT HARET  ·  CONFIGURACIÓN DE PRECIOS  ·  Mayo 2026</t>
  </si>
  <si>
    <t>Celdas en amarillo = inputs manuales  ·  Resto se calcula automáticamente</t>
  </si>
  <si>
    <t>A   PARÁMETROS GENERALES</t>
  </si>
  <si>
    <t>Costo de la caja</t>
  </si>
  <si>
    <t>USD / caja</t>
  </si>
  <si>
    <t>Merma (%)</t>
  </si>
  <si>
    <t>DUE — costo fijo por envío</t>
  </si>
  <si>
    <t>USD / envío</t>
  </si>
  <si>
    <t>Documento Único de Exportación — se distribuye entre las cajas del envío</t>
  </si>
  <si>
    <t>Peso pallet + plástico</t>
  </si>
  <si>
    <t>kg / pallet</t>
  </si>
  <si>
    <t>Tara de la caja vacía</t>
  </si>
  <si>
    <t>kg / caja</t>
  </si>
  <si>
    <t>ℹ  Flete/caja = Tarifa × (kg neto + tara + peso pallet ÷ cajas/pallet)  |  DUE/caja = DUE ÷ (n° pallets × cajas/pallet)</t>
  </si>
  <si>
    <t>EUR / USD  —  TIPO DE CAMBIO  (STOCKHISTORY: función nativa Excel 365, datos en tiempo real)</t>
  </si>
  <si>
    <t>1 EUR  =  ? USD</t>
  </si>
  <si>
    <t>USD</t>
  </si>
  <si>
    <t>← STOCKHISTORY (tiempo real). Si falla usa valor de C13</t>
  </si>
  <si>
    <t>Valor manual  (si STOCKHISTORY falla)</t>
  </si>
  <si>
    <t>← Editar cuando no haya conexión o Excel sin 365</t>
  </si>
  <si>
    <t>1 USD  =  ? EUR  (reverso automático)</t>
  </si>
  <si>
    <t>EUR</t>
  </si>
  <si>
    <t>← Automático = 1 ÷ C12</t>
  </si>
  <si>
    <t xml:space="preserve">  ⚠  STOCKHISTORY requiere Excel 365. Si aparece #¿NOMBRE? → escriba la tasa en C13 (amarillo) y C12 usará ese valor.</t>
  </si>
  <si>
    <t>B   TARIFAS CARGUERA  —  USD / kg aéreo</t>
  </si>
  <si>
    <t>DESTINO</t>
  </si>
  <si>
    <t>TARIFA USD/kg</t>
  </si>
  <si>
    <t>Nota</t>
  </si>
  <si>
    <t>Madrid/España</t>
  </si>
  <si>
    <t>← tarifa mayo 2026</t>
  </si>
  <si>
    <t>Londres/UK</t>
  </si>
  <si>
    <t>Suiza</t>
  </si>
  <si>
    <t>Países Bajos</t>
  </si>
  <si>
    <t>Dubai/EAU</t>
  </si>
  <si>
    <t>Nueva York/USA</t>
  </si>
  <si>
    <t>Miami/USA</t>
  </si>
  <si>
    <t>(otros)</t>
  </si>
  <si>
    <t>C   CAJAS POR PALLET  (la carguera cobra peso bruto = kg neto + tara + pallet)</t>
  </si>
  <si>
    <t>GRUPO</t>
  </si>
  <si>
    <t>Cajas/Pallet</t>
  </si>
  <si>
    <t>Sobrepeso/caja kg</t>
  </si>
  <si>
    <t>Productos del grupo</t>
  </si>
  <si>
    <t>Grupo A</t>
  </si>
  <si>
    <t>Grupo B</t>
  </si>
  <si>
    <t>Pitahaya Amarilla</t>
  </si>
  <si>
    <t>Grupo C</t>
  </si>
  <si>
    <t>Lulo · Maracuyá · Tomate · Taxo · Melon dulce</t>
  </si>
  <si>
    <t>Grupo D</t>
  </si>
  <si>
    <t>Cacao · Babaco</t>
  </si>
  <si>
    <t>Grupo E</t>
  </si>
  <si>
    <t>Guanabana · Aguacate · Baby banano · Zapote</t>
  </si>
  <si>
    <t>Grupo F</t>
  </si>
  <si>
    <t>Roja P · Blanca P</t>
  </si>
  <si>
    <t>Grupo G</t>
  </si>
  <si>
    <t>Physalis sin cáscara</t>
  </si>
  <si>
    <t>Grupo H</t>
  </si>
  <si>
    <t>Physalis con cáscara</t>
  </si>
  <si>
    <t>D   DESGLOSE DUE / CAJA  —  A más pallets, menor DUE por caja</t>
  </si>
  <si>
    <t>Grupo</t>
  </si>
  <si>
    <t>Cajas
/Pallet</t>
  </si>
  <si>
    <t>1 Pallet</t>
  </si>
  <si>
    <t>2 Pallets</t>
  </si>
  <si>
    <t>3 Pallets</t>
  </si>
  <si>
    <t>4 Pallets</t>
  </si>
  <si>
    <t>5 Pallets</t>
  </si>
  <si>
    <t>6 Pallets</t>
  </si>
  <si>
    <t>7 Pallets</t>
  </si>
  <si>
    <t>8 Pallets</t>
  </si>
  <si>
    <t>9 Pallets</t>
  </si>
  <si>
    <t>10 Pallets</t>
  </si>
  <si>
    <t>11 Pallets</t>
  </si>
  <si>
    <t>12 Pallets</t>
  </si>
  <si>
    <t>13 Pallets</t>
  </si>
  <si>
    <t>14 Pallets</t>
  </si>
  <si>
    <t>15 Pallets</t>
  </si>
  <si>
    <t>16 Pallets</t>
  </si>
  <si>
    <t>17 Pallets</t>
  </si>
  <si>
    <t>18 Pallets</t>
  </si>
  <si>
    <t>19 Pallets</t>
  </si>
  <si>
    <t>20 Pallets</t>
  </si>
  <si>
    <t>21 Pallets</t>
  </si>
  <si>
    <t>22 Pallets</t>
  </si>
  <si>
    <t>23 Pallets</t>
  </si>
  <si>
    <t>Grupo A — Granadilla</t>
  </si>
  <si>
    <t>Grupo B — Pitahaya Amarilla</t>
  </si>
  <si>
    <t>Grupo C — Lulo · Maracuyá · Tomate · T</t>
  </si>
  <si>
    <t>Grupo D — Cacao · Babaco</t>
  </si>
  <si>
    <t xml:space="preserve">Grupo E — Guanabana · Aguacate · Baby </t>
  </si>
  <si>
    <t>Grupo F — Roja P · Blanca P</t>
  </si>
  <si>
    <t>Grupo G — Physalis sin cáscara</t>
  </si>
  <si>
    <t>Grupo H — Physalis con cáscara</t>
  </si>
  <si>
    <t>Con 160 cajas/pallet: 1 pal=$1.75 · 2=$0.88 · 4=$0.44 · 6=$0.29 · 8=$0.22 · 12=$0.15</t>
  </si>
  <si>
    <t>E   TRANSPORTE INTERNO  —  Costo fijo por envío distribuido entre cajas  (igual que DUE)</t>
  </si>
  <si>
    <t>Costo fijo transporte interno</t>
  </si>
  <si>
    <t>← Modificar si cambia el coste de transporte</t>
  </si>
  <si>
    <t>Transporte interno $250: con 160 cajas/pallet: 1 pal=$1.5625 · 2=$0.78 · 4=$0.39 · 8=$0.20 · 12=$0.13  |  A más pallets = menos coste de transporte por caja</t>
  </si>
  <si>
    <t>EXPORT HARET  ·  COMPARACIÓN TODOS LOS DESTINOS</t>
  </si>
  <si>
    <t>Vigente 12/05/2026  |  CIF sin DUE  |  Pal $ = precio USD  |  Pal € = precio EUR (BCE)</t>
  </si>
  <si>
    <t>PALLETS:</t>
  </si>
  <si>
    <t>← 1 a 12</t>
  </si>
  <si>
    <t>kg</t>
  </si>
  <si>
    <t>Francia (otros)</t>
  </si>
  <si>
    <t>CIF USD</t>
  </si>
  <si>
    <t>Zapote</t>
  </si>
  <si>
    <t>ℹ  Tipo de cambio automático BCE (CONFIGURACION) · Cambiar L2 para ver 1 a 12 pallets</t>
  </si>
  <si>
    <t>Resumen de precio que se suma al precio de las mercancias</t>
  </si>
  <si>
    <t>2,5 * 160</t>
  </si>
  <si>
    <t>2 * 160</t>
  </si>
  <si>
    <t>2,5 * 180</t>
  </si>
  <si>
    <t>120 * 3</t>
  </si>
  <si>
    <t>120 * 4</t>
  </si>
  <si>
    <t>Berlín/Alemania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</si>
</sst>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64" formatCode="\$\ #,##0.00"/>
    <numFmt numFmtId="165" formatCode="\$\ #,##0"/>
    <numFmt numFmtId="166" formatCode="#,##0.0"/>
    <numFmt numFmtId="167" formatCode="&quot;1 EUR = $ &quot;#,##0.0000&quot;  USD&quot;"/>
    <numFmt numFmtId="168" formatCode="#,##0.0000"/>
    <numFmt numFmtId="169" formatCode="&quot;1 USD = € &quot;#,##0.0000&quot;  EUR&quot;"/>
    <numFmt numFmtId="170" formatCode="#,##0.000"/>
    <numFmt numFmtId="171" formatCode="&quot;$ &quot;#,##0.000&quot; /kg&quot;"/>
    <numFmt numFmtId="172" formatCode="&quot;1 EUR = $ &quot;#,##0.0000"/>
    <numFmt numFmtId="173" formatCode="&quot;1 USD = € &quot;#,##0.0000"/>
    <numFmt numFmtId="174" formatCode="\$\ #,##0.000"/>
    <numFmt numFmtId="175" formatCode="dd/mm/yyyy"/>
    <numFmt numFmtId="176" formatCode="0&quot; pallet(s)&quot;"/>
    <numFmt numFmtId="177" formatCode="\€\ #,##0.00"/>
    <numFmt numFmtId="178" formatCode="0.0%"/>
    <numFmt numFmtId="179" formatCode="\$\ #,##0.0000"/>
  </numFmts>
  <fonts count="48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i/>
      <sz val="9"/>
      <color rgb="FF555555"/>
      <name val="Arial"/>
      <family val="2"/>
    </font>
    <font>
      <b/>
      <sz val="11"/>
      <color rgb="FFFFFFFF"/>
      <name val="Arial"/>
      <family val="2"/>
    </font>
    <font>
      <sz val="10"/>
      <color rgb="FF000000"/>
      <name val="Arial"/>
      <family val="2"/>
    </font>
    <font>
      <b/>
      <sz val="10"/>
      <color rgb="FF0D47A1"/>
      <name val="Arial"/>
      <family val="2"/>
    </font>
    <font>
      <i/>
      <sz val="9"/>
      <color rgb="FF757575"/>
      <name val="Arial"/>
      <family val="2"/>
    </font>
    <font>
      <i/>
      <sz val="8"/>
      <color rgb="FFAAAAAA"/>
      <name val="Arial"/>
      <family val="2"/>
    </font>
    <font>
      <i/>
      <sz val="9"/>
      <color rgb="FF2E7D32"/>
      <name val="Arial"/>
      <family val="2"/>
    </font>
    <font>
      <b/>
      <sz val="12"/>
      <color rgb="FF4A148C"/>
      <name val="Arial"/>
      <family val="2"/>
    </font>
    <font>
      <b/>
      <sz val="10"/>
      <color rgb="FF4A148C"/>
      <name val="Arial"/>
      <family val="2"/>
    </font>
    <font>
      <i/>
      <sz val="9"/>
      <color rgb="FFBF360C"/>
      <name val="Arial"/>
      <family val="2"/>
    </font>
    <font>
      <b/>
      <sz val="9"/>
      <color rgb="FFFFFFFF"/>
      <name val="Arial"/>
      <family val="2"/>
    </font>
    <font>
      <b/>
      <sz val="10"/>
      <color rgb="FF000000"/>
      <name val="Arial"/>
      <family val="2"/>
    </font>
    <font>
      <i/>
      <sz val="9"/>
      <color rgb="FF000000"/>
      <name val="Arial"/>
      <family val="2"/>
    </font>
    <font>
      <sz val="9"/>
      <color rgb="FF000000"/>
      <name val="Arial"/>
      <family val="2"/>
    </font>
    <font>
      <sz val="10"/>
      <color rgb="FF1B5E20"/>
      <name val="Arial"/>
      <family val="2"/>
    </font>
    <font>
      <b/>
      <sz val="10"/>
      <color rgb="FF1B5E20"/>
      <name val="Arial"/>
      <family val="2"/>
    </font>
    <font>
      <i/>
      <sz val="8"/>
      <color rgb="FF2E7D32"/>
      <name val="Arial"/>
      <family val="2"/>
    </font>
    <font>
      <b/>
      <sz val="15"/>
      <color rgb="FFFFFFFF"/>
      <name val="Arial"/>
      <family val="2"/>
    </font>
    <font>
      <b/>
      <sz val="12"/>
      <color rgb="FF1B5E20"/>
      <name val="Arial"/>
      <family val="2"/>
    </font>
    <font>
      <b/>
      <sz val="12"/>
      <color rgb="FF0D47A1"/>
      <name val="Arial"/>
      <family val="2"/>
    </font>
    <font>
      <b/>
      <sz val="12"/>
      <color rgb="FF2E7D32"/>
      <name val="Arial"/>
      <family val="2"/>
    </font>
    <font>
      <b/>
      <sz val="9"/>
      <color rgb="FF4A148C"/>
      <name val="Arial"/>
      <family val="2"/>
    </font>
    <font>
      <b/>
      <sz val="11"/>
      <color rgb="FF4A148C"/>
      <name val="Arial"/>
      <family val="2"/>
    </font>
    <font>
      <sz val="14"/>
      <color rgb="FF757575"/>
      <name val="Arial"/>
      <family val="2"/>
    </font>
    <font>
      <b/>
      <sz val="7"/>
      <color rgb="FFFFFFFF"/>
      <name val="Arial"/>
      <family val="2"/>
    </font>
    <font>
      <b/>
      <sz val="8"/>
      <color rgb="FFFFFFFF"/>
      <name val="Arial"/>
      <family val="2"/>
    </font>
    <font>
      <sz val="10"/>
      <color rgb="FF757575"/>
      <name val="Arial"/>
      <family val="2"/>
    </font>
    <font>
      <b/>
      <sz val="10"/>
      <color rgb="FFE65100"/>
      <name val="Arial"/>
      <family val="2"/>
    </font>
    <font>
      <sz val="10"/>
      <color rgb="FFE65100"/>
      <name val="Arial"/>
      <family val="2"/>
    </font>
    <font>
      <i/>
      <sz val="8"/>
      <color rgb="FF555555"/>
      <name val="Arial"/>
      <family val="2"/>
    </font>
    <font>
      <sz val="9"/>
      <color rgb="FF4A148C"/>
      <name val="Arial"/>
      <family val="2"/>
    </font>
    <font>
      <i/>
      <sz val="8"/>
      <color rgb="FF777777"/>
      <name val="Arial"/>
      <family val="2"/>
    </font>
    <font>
      <sz val="10"/>
      <color rgb="FF0D47A1"/>
      <name val="Arial"/>
      <family val="2"/>
    </font>
    <font>
      <i/>
      <sz val="9"/>
      <color rgb="FF888888"/>
      <name val="Arial"/>
      <family val="2"/>
    </font>
    <font>
      <b/>
      <sz val="11"/>
      <color rgb="FF1B5E20"/>
      <name val="Arial"/>
      <family val="2"/>
    </font>
    <font>
      <b/>
      <sz val="16"/>
      <color rgb="FF0D47A1"/>
      <name val="Arial"/>
      <family val="2"/>
    </font>
    <font>
      <i/>
      <sz val="9"/>
      <color rgb="FFE53935"/>
      <name val="Arial"/>
      <family val="2"/>
    </font>
    <font>
      <sz val="9"/>
      <color rgb="FF757575"/>
      <name val="Arial"/>
      <family val="2"/>
    </font>
    <font>
      <sz val="9"/>
      <color rgb="FF1B5E20"/>
      <name val="Arial"/>
      <family val="2"/>
    </font>
    <font>
      <b/>
      <sz val="9"/>
      <color rgb="FF1B5E20"/>
      <name val="Arial"/>
      <family val="2"/>
    </font>
    <font>
      <b/>
      <sz val="9"/>
      <color rgb="FFE65100"/>
      <name val="Arial"/>
      <family val="2"/>
    </font>
    <font>
      <i/>
      <sz val="9"/>
      <color rgb="FFE65100"/>
      <name val="Arial"/>
      <family val="2"/>
    </font>
    <font>
      <b/>
      <sz val="10"/>
      <color rgb="FF1B5E20"/>
      <name val="Arial"/>
      <family val="2"/>
    </font>
    <font>
      <b/>
      <sz val="9"/>
      <color rgb="FFFFFFFF"/>
      <name val="Arial"/>
      <family val="2"/>
    </font>
    <font>
      <b/>
      <sz val="8"/>
      <color rgb="FFFFFFFF"/>
      <name val="Arial"/>
      <family val="2"/>
    </font>
    <font>
      <sz val="9"/>
      <color rgb="FF0D47A1"/>
      <name val="Arial"/>
      <family val="2"/>
    </font>
  </fonts>
  <fills count="57">
    <fill>
      <patternFill patternType="none"/>
    </fill>
    <fill>
      <patternFill patternType="gray125"/>
    </fill>
    <fill>
      <patternFill patternType="solid">
        <fgColor rgb="FF1B5E20"/>
      </patternFill>
    </fill>
    <fill>
      <patternFill patternType="solid">
        <fgColor rgb="FF2E7D32"/>
      </patternFill>
    </fill>
    <fill>
      <patternFill patternType="solid">
        <fgColor rgb="FFFFFDE7"/>
      </patternFill>
    </fill>
    <fill>
      <patternFill patternType="solid">
        <fgColor rgb="FFE8F5E9"/>
      </patternFill>
    </fill>
    <fill>
      <patternFill patternType="solid">
        <fgColor rgb="FF4A148C"/>
      </patternFill>
    </fill>
    <fill>
      <patternFill patternType="solid">
        <fgColor rgb="FFF3E5F5"/>
      </patternFill>
    </fill>
    <fill>
      <patternFill patternType="solid">
        <fgColor rgb="FFFFF3E0"/>
      </patternFill>
    </fill>
    <fill>
      <patternFill patternType="solid">
        <fgColor rgb="FF388E3C"/>
      </patternFill>
    </fill>
    <fill>
      <patternFill patternType="solid">
        <fgColor rgb="FFFFFFFF"/>
      </patternFill>
    </fill>
    <fill>
      <patternFill patternType="solid">
        <fgColor rgb="FFF5F5F5"/>
      </patternFill>
    </fill>
    <fill>
      <patternFill patternType="solid">
        <fgColor rgb="FFC8E6C9"/>
      </patternFill>
    </fill>
    <fill>
      <patternFill patternType="solid">
        <fgColor rgb="FF256029"/>
      </patternFill>
    </fill>
    <fill>
      <patternFill patternType="solid">
        <fgColor rgb="FF357A38"/>
      </patternFill>
    </fill>
    <fill>
      <patternFill patternType="solid">
        <fgColor rgb="FF43A047"/>
      </patternFill>
    </fill>
    <fill>
      <patternFill patternType="solid">
        <fgColor rgb="FF4CAF50"/>
      </patternFill>
    </fill>
    <fill>
      <patternFill patternType="solid">
        <fgColor rgb="FF66BB6A"/>
      </patternFill>
    </fill>
    <fill>
      <patternFill patternType="solid">
        <fgColor rgb="FFFFE0B2"/>
      </patternFill>
    </fill>
    <fill>
      <patternFill patternType="solid">
        <fgColor rgb="FF607D8B"/>
      </patternFill>
    </fill>
    <fill>
      <patternFill patternType="solid">
        <fgColor rgb="FFEDE7F6"/>
      </patternFill>
    </fill>
    <fill>
      <patternFill patternType="solid">
        <fgColor rgb="FF1565C0"/>
      </patternFill>
    </fill>
    <fill>
      <patternFill patternType="solid">
        <fgColor rgb="FF6A1B9A"/>
      </patternFill>
    </fill>
    <fill>
      <patternFill patternType="solid">
        <fgColor rgb="FFE65100"/>
      </patternFill>
    </fill>
    <fill>
      <patternFill patternType="solid">
        <fgColor rgb="FF00695C"/>
      </patternFill>
    </fill>
    <fill>
      <patternFill patternType="solid">
        <fgColor rgb="FF880E4F"/>
      </patternFill>
    </fill>
    <fill>
      <patternFill patternType="solid">
        <fgColor rgb="FF33691E"/>
      </patternFill>
    </fill>
    <fill>
      <patternFill patternType="solid">
        <fgColor rgb="FF4E342E"/>
      </patternFill>
    </fill>
    <fill>
      <patternFill patternType="solid">
        <fgColor rgb="FF0D47A1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388E3C"/>
      </patternFill>
    </fill>
    <fill>
      <patternFill patternType="solid">
        <fgColor rgb="FFE65100"/>
      </patternFill>
    </fill>
    <fill>
      <patternFill patternType="solid">
        <fgColor rgb="FFE8F5E9"/>
      </patternFill>
    </fill>
    <fill>
      <patternFill patternType="solid">
        <fgColor rgb="FFFFF3E0"/>
      </patternFill>
    </fill>
    <fill>
      <patternFill patternType="solid">
        <fgColor rgb="FFFFFFFF"/>
      </patternFill>
    </fill>
    <fill>
      <patternFill patternType="solid">
        <fgColor rgb="FF1B5E20"/>
      </patternFill>
    </fill>
    <fill>
      <patternFill patternType="solid">
        <fgColor rgb="FF256029"/>
      </patternFill>
    </fill>
    <fill>
      <patternFill patternType="solid">
        <fgColor rgb="FF2E7D32"/>
      </patternFill>
    </fill>
    <fill>
      <patternFill patternType="solid">
        <fgColor rgb="FF357A38"/>
      </patternFill>
    </fill>
    <fill>
      <patternFill patternType="solid">
        <fgColor rgb="FF43A047"/>
      </patternFill>
    </fill>
    <fill>
      <patternFill patternType="solid">
        <fgColor rgb="FF4CAF50"/>
      </patternFill>
    </fill>
    <fill>
      <patternFill patternType="solid">
        <fgColor rgb="FF66BB6A"/>
      </patternFill>
    </fill>
    <fill>
      <patternFill patternType="solid">
        <fgColor rgb="FF81C784"/>
      </patternFill>
    </fill>
    <fill>
      <patternFill patternType="solid">
        <fgColor rgb="FFA5D6A7"/>
      </patternFill>
    </fill>
    <fill>
      <patternFill patternType="solid">
        <fgColor rgb="FFC8E6C9"/>
      </patternFill>
    </fill>
    <fill>
      <patternFill patternType="solid">
        <fgColor rgb="FFD0F0C0"/>
      </patternFill>
    </fill>
    <fill>
      <patternFill patternType="solid">
        <fgColor rgb="FFB2DFDB"/>
      </patternFill>
    </fill>
    <fill>
      <patternFill patternType="solid">
        <fgColor rgb="FF87CEAC"/>
      </patternFill>
    </fill>
    <fill>
      <patternFill patternType="solid">
        <fgColor rgb="FF69C599"/>
      </patternFill>
    </fill>
    <fill>
      <patternFill patternType="solid">
        <fgColor rgb="FF4BBC86"/>
      </patternFill>
    </fill>
    <fill>
      <patternFill patternType="solid">
        <fgColor rgb="FF2EAF72"/>
      </patternFill>
    </fill>
    <fill>
      <patternFill patternType="solid">
        <fgColor rgb="FF1EA865"/>
      </patternFill>
    </fill>
    <fill>
      <patternFill patternType="solid">
        <fgColor rgb="FF12A059"/>
      </patternFill>
    </fill>
    <fill>
      <patternFill patternType="solid">
        <fgColor rgb="FF069850"/>
      </patternFill>
    </fill>
    <fill>
      <patternFill patternType="solid">
        <fgColor rgb="FF008F4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7">
    <xf numFmtId="0" fontId="0" fillId="0" borderId="0" xfId="0"/>
    <xf numFmtId="0" fontId="4" fillId="0" borderId="0" xfId="0" applyFont="1"/>
    <xf numFmtId="164" fontId="5" fillId="4" borderId="1" xfId="0" applyNumberFormat="1" applyFont="1" applyFill="1" applyBorder="1" applyAlignment="1">
      <alignment horizontal="right" vertical="center"/>
    </xf>
    <xf numFmtId="0" fontId="6" fillId="0" borderId="0" xfId="0" applyFont="1"/>
    <xf numFmtId="9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7" fillId="0" borderId="0" xfId="0" applyFont="1"/>
    <xf numFmtId="166" fontId="5" fillId="4" borderId="1" xfId="0" applyNumberFormat="1" applyFont="1" applyFill="1" applyBorder="1" applyAlignment="1">
      <alignment horizontal="right" vertical="center"/>
    </xf>
    <xf numFmtId="4" fontId="5" fillId="4" borderId="1" xfId="0" applyNumberFormat="1" applyFont="1" applyFill="1" applyBorder="1" applyAlignment="1">
      <alignment horizontal="right" vertical="center"/>
    </xf>
    <xf numFmtId="0" fontId="10" fillId="0" borderId="0" xfId="0" applyFont="1"/>
    <xf numFmtId="167" fontId="9" fillId="7" borderId="1" xfId="0" applyNumberFormat="1" applyFont="1" applyFill="1" applyBorder="1" applyAlignment="1">
      <alignment horizontal="right" vertical="center"/>
    </xf>
    <xf numFmtId="168" fontId="5" fillId="4" borderId="1" xfId="0" applyNumberFormat="1" applyFont="1" applyFill="1" applyBorder="1" applyAlignment="1">
      <alignment horizontal="right" vertical="center"/>
    </xf>
    <xf numFmtId="169" fontId="9" fillId="7" borderId="1" xfId="0" applyNumberFormat="1" applyFont="1" applyFill="1" applyBorder="1" applyAlignment="1">
      <alignment horizontal="right" vertical="center"/>
    </xf>
    <xf numFmtId="0" fontId="12" fillId="9" borderId="2" xfId="0" applyFont="1" applyFill="1" applyBorder="1" applyAlignment="1">
      <alignment horizontal="center" vertical="center" wrapText="1"/>
    </xf>
    <xf numFmtId="0" fontId="4" fillId="5" borderId="2" xfId="0" applyFont="1" applyFill="1" applyBorder="1"/>
    <xf numFmtId="170" fontId="5" fillId="4" borderId="2" xfId="0" applyNumberFormat="1" applyFont="1" applyFill="1" applyBorder="1" applyAlignment="1">
      <alignment horizontal="right" vertical="center"/>
    </xf>
    <xf numFmtId="0" fontId="4" fillId="10" borderId="2" xfId="0" applyFont="1" applyFill="1" applyBorder="1"/>
    <xf numFmtId="0" fontId="13" fillId="5" borderId="2" xfId="0" applyFont="1" applyFill="1" applyBorder="1"/>
    <xf numFmtId="3" fontId="5" fillId="4" borderId="2" xfId="0" applyNumberFormat="1" applyFont="1" applyFill="1" applyBorder="1" applyAlignment="1">
      <alignment horizontal="right" vertical="center"/>
    </xf>
    <xf numFmtId="168" fontId="4" fillId="11" borderId="2" xfId="0" applyNumberFormat="1" applyFont="1" applyFill="1" applyBorder="1" applyAlignment="1">
      <alignment horizontal="right" vertical="center"/>
    </xf>
    <xf numFmtId="0" fontId="14" fillId="5" borderId="2" xfId="0" applyFont="1" applyFill="1" applyBorder="1"/>
    <xf numFmtId="0" fontId="13" fillId="10" borderId="2" xfId="0" applyFont="1" applyFill="1" applyBorder="1"/>
    <xf numFmtId="0" fontId="14" fillId="10" borderId="2" xfId="0" applyFont="1" applyFill="1" applyBorder="1"/>
    <xf numFmtId="0" fontId="15" fillId="5" borderId="2" xfId="0" applyFont="1" applyFill="1" applyBorder="1"/>
    <xf numFmtId="3" fontId="16" fillId="11" borderId="2" xfId="0" applyNumberFormat="1" applyFont="1" applyFill="1" applyBorder="1" applyAlignment="1">
      <alignment horizontal="right" vertical="center"/>
    </xf>
    <xf numFmtId="0" fontId="15" fillId="10" borderId="2" xfId="0" applyFont="1" applyFill="1" applyBorder="1"/>
    <xf numFmtId="0" fontId="20" fillId="0" borderId="0" xfId="0" applyFont="1" applyAlignment="1">
      <alignment horizontal="right" vertical="center"/>
    </xf>
    <xf numFmtId="0" fontId="21" fillId="4" borderId="1" xfId="0" applyFont="1" applyFill="1" applyBorder="1" applyAlignment="1">
      <alignment horizontal="center" vertical="center"/>
    </xf>
    <xf numFmtId="171" fontId="22" fillId="5" borderId="1" xfId="0" applyNumberFormat="1" applyFont="1" applyFill="1" applyBorder="1" applyAlignment="1">
      <alignment horizontal="center" vertical="center"/>
    </xf>
    <xf numFmtId="0" fontId="23" fillId="0" borderId="0" xfId="0" applyFont="1" applyAlignment="1">
      <alignment horizontal="right" vertical="center"/>
    </xf>
    <xf numFmtId="172" fontId="24" fillId="7" borderId="1" xfId="0" applyNumberFormat="1" applyFont="1" applyFill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173" fontId="24" fillId="7" borderId="1" xfId="0" applyNumberFormat="1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 wrapText="1"/>
    </xf>
    <xf numFmtId="0" fontId="26" fillId="3" borderId="2" xfId="0" applyFont="1" applyFill="1" applyBorder="1" applyAlignment="1">
      <alignment horizontal="center" vertical="center" wrapText="1"/>
    </xf>
    <xf numFmtId="0" fontId="27" fillId="9" borderId="2" xfId="0" applyFont="1" applyFill="1" applyBorder="1" applyAlignment="1">
      <alignment horizontal="center" vertical="center" wrapText="1"/>
    </xf>
    <xf numFmtId="0" fontId="27" fillId="2" borderId="2" xfId="0" applyFont="1" applyFill="1" applyBorder="1" applyAlignment="1">
      <alignment horizontal="center" vertical="center" wrapText="1"/>
    </xf>
    <xf numFmtId="0" fontId="27" fillId="13" borderId="2" xfId="0" applyFont="1" applyFill="1" applyBorder="1" applyAlignment="1">
      <alignment horizontal="center" vertical="center" wrapText="1"/>
    </xf>
    <xf numFmtId="0" fontId="27" fillId="3" borderId="2" xfId="0" applyFont="1" applyFill="1" applyBorder="1" applyAlignment="1">
      <alignment horizontal="center" vertical="center" wrapText="1"/>
    </xf>
    <xf numFmtId="0" fontId="27" fillId="14" borderId="2" xfId="0" applyFont="1" applyFill="1" applyBorder="1" applyAlignment="1">
      <alignment horizontal="center" vertical="center" wrapText="1"/>
    </xf>
    <xf numFmtId="0" fontId="27" fillId="15" borderId="2" xfId="0" applyFont="1" applyFill="1" applyBorder="1" applyAlignment="1">
      <alignment horizontal="center" vertical="center" wrapText="1"/>
    </xf>
    <xf numFmtId="0" fontId="27" fillId="16" borderId="2" xfId="0" applyFont="1" applyFill="1" applyBorder="1" applyAlignment="1">
      <alignment horizontal="center" vertical="center" wrapText="1"/>
    </xf>
    <xf numFmtId="0" fontId="27" fillId="17" borderId="2" xfId="0" applyFont="1" applyFill="1" applyBorder="1" applyAlignment="1">
      <alignment horizontal="center" vertical="center" wrapText="1"/>
    </xf>
    <xf numFmtId="0" fontId="0" fillId="11" borderId="0" xfId="0" applyFill="1"/>
    <xf numFmtId="0" fontId="28" fillId="5" borderId="2" xfId="0" applyFont="1" applyFill="1" applyBorder="1" applyAlignment="1">
      <alignment horizontal="left" vertical="center"/>
    </xf>
    <xf numFmtId="0" fontId="13" fillId="5" borderId="2" xfId="0" applyFont="1" applyFill="1" applyBorder="1" applyAlignment="1">
      <alignment horizontal="left" vertical="center"/>
    </xf>
    <xf numFmtId="164" fontId="16" fillId="5" borderId="2" xfId="0" applyNumberFormat="1" applyFont="1" applyFill="1" applyBorder="1" applyAlignment="1">
      <alignment horizontal="right" vertical="center"/>
    </xf>
    <xf numFmtId="164" fontId="5" fillId="4" borderId="2" xfId="0" applyNumberFormat="1" applyFont="1" applyFill="1" applyBorder="1" applyAlignment="1">
      <alignment horizontal="right" vertical="center"/>
    </xf>
    <xf numFmtId="164" fontId="4" fillId="5" borderId="2" xfId="0" applyNumberFormat="1" applyFont="1" applyFill="1" applyBorder="1" applyAlignment="1">
      <alignment horizontal="right" vertical="center"/>
    </xf>
    <xf numFmtId="164" fontId="13" fillId="5" borderId="2" xfId="0" applyNumberFormat="1" applyFont="1" applyFill="1" applyBorder="1" applyAlignment="1">
      <alignment horizontal="right" vertical="center"/>
    </xf>
    <xf numFmtId="174" fontId="16" fillId="5" borderId="2" xfId="0" applyNumberFormat="1" applyFont="1" applyFill="1" applyBorder="1" applyAlignment="1">
      <alignment horizontal="right" vertical="center"/>
    </xf>
    <xf numFmtId="174" fontId="4" fillId="5" borderId="2" xfId="0" applyNumberFormat="1" applyFont="1" applyFill="1" applyBorder="1" applyAlignment="1">
      <alignment horizontal="right" vertical="center"/>
    </xf>
    <xf numFmtId="0" fontId="28" fillId="10" borderId="2" xfId="0" applyFont="1" applyFill="1" applyBorder="1" applyAlignment="1">
      <alignment horizontal="left" vertical="center"/>
    </xf>
    <xf numFmtId="0" fontId="13" fillId="10" borderId="2" xfId="0" applyFont="1" applyFill="1" applyBorder="1" applyAlignment="1">
      <alignment horizontal="left" vertical="center"/>
    </xf>
    <xf numFmtId="164" fontId="16" fillId="10" borderId="2" xfId="0" applyNumberFormat="1" applyFont="1" applyFill="1" applyBorder="1" applyAlignment="1">
      <alignment horizontal="right" vertical="center"/>
    </xf>
    <xf numFmtId="164" fontId="4" fillId="10" borderId="2" xfId="0" applyNumberFormat="1" applyFont="1" applyFill="1" applyBorder="1" applyAlignment="1">
      <alignment horizontal="right" vertical="center"/>
    </xf>
    <xf numFmtId="164" fontId="13" fillId="10" borderId="2" xfId="0" applyNumberFormat="1" applyFont="1" applyFill="1" applyBorder="1" applyAlignment="1">
      <alignment horizontal="right" vertical="center"/>
    </xf>
    <xf numFmtId="174" fontId="16" fillId="10" borderId="2" xfId="0" applyNumberFormat="1" applyFont="1" applyFill="1" applyBorder="1" applyAlignment="1">
      <alignment horizontal="right" vertical="center"/>
    </xf>
    <xf numFmtId="174" fontId="4" fillId="10" borderId="2" xfId="0" applyNumberFormat="1" applyFont="1" applyFill="1" applyBorder="1" applyAlignment="1">
      <alignment horizontal="right" vertical="center"/>
    </xf>
    <xf numFmtId="0" fontId="23" fillId="20" borderId="2" xfId="0" applyFont="1" applyFill="1" applyBorder="1" applyAlignment="1">
      <alignment horizontal="center" vertical="center"/>
    </xf>
    <xf numFmtId="175" fontId="32" fillId="20" borderId="2" xfId="0" applyNumberFormat="1" applyFont="1" applyFill="1" applyBorder="1" applyAlignment="1">
      <alignment horizontal="center" vertical="center"/>
    </xf>
    <xf numFmtId="164" fontId="32" fillId="20" borderId="2" xfId="0" applyNumberFormat="1" applyFont="1" applyFill="1" applyBorder="1" applyAlignment="1">
      <alignment horizontal="right" vertical="center"/>
    </xf>
    <xf numFmtId="0" fontId="13" fillId="10" borderId="2" xfId="0" applyFont="1" applyFill="1" applyBorder="1" applyAlignment="1">
      <alignment horizontal="center" vertical="center"/>
    </xf>
    <xf numFmtId="175" fontId="5" fillId="4" borderId="1" xfId="0" applyNumberFormat="1" applyFont="1" applyFill="1" applyBorder="1" applyAlignment="1">
      <alignment horizontal="center" vertical="center"/>
    </xf>
    <xf numFmtId="164" fontId="34" fillId="4" borderId="2" xfId="0" applyNumberFormat="1" applyFont="1" applyFill="1" applyBorder="1" applyAlignment="1">
      <alignment horizontal="right" vertical="center"/>
    </xf>
    <xf numFmtId="0" fontId="13" fillId="5" borderId="2" xfId="0" applyFont="1" applyFill="1" applyBorder="1" applyAlignment="1">
      <alignment horizontal="center" vertical="center"/>
    </xf>
    <xf numFmtId="175" fontId="5" fillId="10" borderId="1" xfId="0" applyNumberFormat="1" applyFont="1" applyFill="1" applyBorder="1" applyAlignment="1">
      <alignment horizontal="center" vertical="center"/>
    </xf>
    <xf numFmtId="164" fontId="34" fillId="10" borderId="2" xfId="0" applyNumberFormat="1" applyFont="1" applyFill="1" applyBorder="1" applyAlignment="1">
      <alignment horizontal="right" vertical="center"/>
    </xf>
    <xf numFmtId="0" fontId="36" fillId="0" borderId="0" xfId="0" applyFont="1" applyAlignment="1">
      <alignment horizontal="right" vertical="center"/>
    </xf>
    <xf numFmtId="176" fontId="37" fillId="4" borderId="1" xfId="0" applyNumberFormat="1" applyFont="1" applyFill="1" applyBorder="1" applyAlignment="1">
      <alignment horizontal="center" vertical="center"/>
    </xf>
    <xf numFmtId="0" fontId="27" fillId="2" borderId="2" xfId="0" applyFont="1" applyFill="1" applyBorder="1" applyAlignment="1">
      <alignment horizontal="center" vertical="center"/>
    </xf>
    <xf numFmtId="0" fontId="27" fillId="3" borderId="2" xfId="0" applyFont="1" applyFill="1" applyBorder="1" applyAlignment="1">
      <alignment horizontal="center" vertical="center"/>
    </xf>
    <xf numFmtId="0" fontId="26" fillId="2" borderId="2" xfId="0" applyFont="1" applyFill="1" applyBorder="1" applyAlignment="1">
      <alignment horizontal="center" vertical="center"/>
    </xf>
    <xf numFmtId="0" fontId="26" fillId="21" borderId="2" xfId="0" applyFont="1" applyFill="1" applyBorder="1" applyAlignment="1">
      <alignment horizontal="center" vertical="center"/>
    </xf>
    <xf numFmtId="0" fontId="26" fillId="22" borderId="2" xfId="0" applyFont="1" applyFill="1" applyBorder="1" applyAlignment="1">
      <alignment horizontal="center" vertical="center"/>
    </xf>
    <xf numFmtId="0" fontId="26" fillId="23" borderId="2" xfId="0" applyFont="1" applyFill="1" applyBorder="1" applyAlignment="1">
      <alignment horizontal="center" vertical="center"/>
    </xf>
    <xf numFmtId="0" fontId="26" fillId="24" borderId="2" xfId="0" applyFont="1" applyFill="1" applyBorder="1" applyAlignment="1">
      <alignment horizontal="center" vertical="center"/>
    </xf>
    <xf numFmtId="0" fontId="26" fillId="25" borderId="2" xfId="0" applyFont="1" applyFill="1" applyBorder="1" applyAlignment="1">
      <alignment horizontal="center" vertical="center"/>
    </xf>
    <xf numFmtId="0" fontId="26" fillId="26" borderId="2" xfId="0" applyFont="1" applyFill="1" applyBorder="1" applyAlignment="1">
      <alignment horizontal="center" vertical="center"/>
    </xf>
    <xf numFmtId="0" fontId="26" fillId="27" borderId="2" xfId="0" applyFont="1" applyFill="1" applyBorder="1" applyAlignment="1">
      <alignment horizontal="center" vertical="center"/>
    </xf>
    <xf numFmtId="0" fontId="26" fillId="28" borderId="2" xfId="0" applyFont="1" applyFill="1" applyBorder="1" applyAlignment="1">
      <alignment horizontal="center" vertical="center"/>
    </xf>
    <xf numFmtId="0" fontId="39" fillId="5" borderId="2" xfId="0" applyFont="1" applyFill="1" applyBorder="1"/>
    <xf numFmtId="166" fontId="15" fillId="5" borderId="2" xfId="0" applyNumberFormat="1" applyFont="1" applyFill="1" applyBorder="1" applyAlignment="1">
      <alignment horizontal="right" vertical="center"/>
    </xf>
    <xf numFmtId="164" fontId="40" fillId="5" borderId="2" xfId="0" applyNumberFormat="1" applyFont="1" applyFill="1" applyBorder="1" applyAlignment="1">
      <alignment horizontal="right" vertical="center"/>
    </xf>
    <xf numFmtId="164" fontId="41" fillId="12" borderId="2" xfId="0" applyNumberFormat="1" applyFont="1" applyFill="1" applyBorder="1" applyAlignment="1">
      <alignment horizontal="right" vertical="center"/>
    </xf>
    <xf numFmtId="177" fontId="42" fillId="18" borderId="2" xfId="0" applyNumberFormat="1" applyFont="1" applyFill="1" applyBorder="1" applyAlignment="1">
      <alignment horizontal="right" vertical="center"/>
    </xf>
    <xf numFmtId="0" fontId="39" fillId="10" borderId="2" xfId="0" applyFont="1" applyFill="1" applyBorder="1"/>
    <xf numFmtId="166" fontId="15" fillId="10" borderId="2" xfId="0" applyNumberFormat="1" applyFont="1" applyFill="1" applyBorder="1" applyAlignment="1">
      <alignment horizontal="right" vertical="center"/>
    </xf>
    <xf numFmtId="164" fontId="40" fillId="10" borderId="2" xfId="0" applyNumberFormat="1" applyFont="1" applyFill="1" applyBorder="1" applyAlignment="1">
      <alignment horizontal="right" vertical="center"/>
    </xf>
    <xf numFmtId="178" fontId="5" fillId="4" borderId="2" xfId="0" applyNumberFormat="1" applyFont="1" applyFill="1" applyBorder="1" applyAlignment="1">
      <alignment horizontal="right" vertical="center"/>
    </xf>
    <xf numFmtId="0" fontId="27" fillId="0" borderId="0" xfId="0" applyFont="1" applyAlignment="1">
      <alignment horizontal="center" vertical="center" wrapText="1"/>
    </xf>
    <xf numFmtId="177" fontId="29" fillId="0" borderId="0" xfId="0" applyNumberFormat="1" applyFont="1" applyAlignment="1">
      <alignment horizontal="right" vertical="center"/>
    </xf>
    <xf numFmtId="177" fontId="30" fillId="0" borderId="0" xfId="0" applyNumberFormat="1" applyFont="1" applyAlignment="1">
      <alignment horizontal="right" vertical="center"/>
    </xf>
    <xf numFmtId="164" fontId="13" fillId="29" borderId="2" xfId="0" applyNumberFormat="1" applyFont="1" applyFill="1" applyBorder="1" applyAlignment="1">
      <alignment horizontal="right" vertical="center"/>
    </xf>
    <xf numFmtId="0" fontId="12" fillId="23" borderId="2" xfId="0" applyFont="1" applyFill="1" applyBorder="1" applyAlignment="1">
      <alignment horizontal="center" vertical="center" wrapText="1"/>
    </xf>
    <xf numFmtId="0" fontId="15" fillId="8" borderId="2" xfId="0" applyFont="1" applyFill="1" applyBorder="1"/>
    <xf numFmtId="0" fontId="45" fillId="30" borderId="3" xfId="0" applyFont="1" applyFill="1" applyBorder="1" applyAlignment="1">
      <alignment horizontal="center" vertical="center" wrapText="1"/>
    </xf>
    <xf numFmtId="179" fontId="17" fillId="32" borderId="3" xfId="0" applyNumberFormat="1" applyFont="1" applyFill="1" applyBorder="1" applyAlignment="1">
      <alignment horizontal="right" vertical="center"/>
    </xf>
    <xf numFmtId="179" fontId="16" fillId="32" borderId="3" xfId="0" applyNumberFormat="1" applyFont="1" applyFill="1" applyBorder="1" applyAlignment="1">
      <alignment horizontal="right" vertical="center"/>
    </xf>
    <xf numFmtId="179" fontId="0" fillId="32" borderId="3" xfId="0" applyNumberFormat="1" applyFill="1" applyBorder="1" applyAlignment="1">
      <alignment horizontal="right" vertical="center"/>
    </xf>
    <xf numFmtId="179" fontId="17" fillId="34" borderId="3" xfId="0" applyNumberFormat="1" applyFont="1" applyFill="1" applyBorder="1" applyAlignment="1">
      <alignment horizontal="right" vertical="center"/>
    </xf>
    <xf numFmtId="179" fontId="16" fillId="34" borderId="3" xfId="0" applyNumberFormat="1" applyFont="1" applyFill="1" applyBorder="1" applyAlignment="1">
      <alignment horizontal="right" vertical="center"/>
    </xf>
    <xf numFmtId="179" fontId="0" fillId="34" borderId="3" xfId="0" applyNumberFormat="1" applyFill="1" applyBorder="1" applyAlignment="1">
      <alignment horizontal="right" vertical="center"/>
    </xf>
    <xf numFmtId="0" fontId="45" fillId="31" borderId="3" xfId="0" applyFont="1" applyFill="1" applyBorder="1" applyAlignment="1">
      <alignment horizontal="center" vertical="center" wrapText="1"/>
    </xf>
    <xf numFmtId="179" fontId="44" fillId="33" borderId="3" xfId="0" applyNumberFormat="1" applyFont="1" applyFill="1" applyBorder="1" applyAlignment="1">
      <alignment horizontal="right" vertical="center"/>
    </xf>
    <xf numFmtId="179" fontId="17" fillId="33" borderId="3" xfId="0" applyNumberFormat="1" applyFont="1" applyFill="1" applyBorder="1" applyAlignment="1">
      <alignment horizontal="right" vertical="center"/>
    </xf>
    <xf numFmtId="179" fontId="16" fillId="33" borderId="3" xfId="0" applyNumberFormat="1" applyFont="1" applyFill="1" applyBorder="1" applyAlignment="1">
      <alignment horizontal="right" vertical="center"/>
    </xf>
    <xf numFmtId="179" fontId="0" fillId="33" borderId="3" xfId="0" applyNumberFormat="1" applyFill="1" applyBorder="1" applyAlignment="1">
      <alignment horizontal="right" vertical="center"/>
    </xf>
    <xf numFmtId="179" fontId="44" fillId="34" borderId="3" xfId="0" applyNumberFormat="1" applyFont="1" applyFill="1" applyBorder="1" applyAlignment="1">
      <alignment horizontal="right" vertical="center"/>
    </xf>
    <xf numFmtId="0" fontId="46" fillId="35" borderId="3" xfId="0" applyFont="1" applyFill="1" applyBorder="1" applyAlignment="1">
      <alignment horizontal="center" vertical="center" wrapText="1"/>
    </xf>
    <xf numFmtId="0" fontId="46" fillId="36" borderId="3" xfId="0" applyFont="1" applyFill="1" applyBorder="1" applyAlignment="1">
      <alignment horizontal="center" vertical="center" wrapText="1"/>
    </xf>
    <xf numFmtId="0" fontId="46" fillId="37" borderId="3" xfId="0" applyFont="1" applyFill="1" applyBorder="1" applyAlignment="1">
      <alignment horizontal="center" vertical="center" wrapText="1"/>
    </xf>
    <xf numFmtId="0" fontId="46" fillId="38" borderId="3" xfId="0" applyFont="1" applyFill="1" applyBorder="1" applyAlignment="1">
      <alignment horizontal="center" vertical="center" wrapText="1"/>
    </xf>
    <xf numFmtId="0" fontId="46" fillId="30" borderId="3" xfId="0" applyFont="1" applyFill="1" applyBorder="1" applyAlignment="1">
      <alignment horizontal="center" vertical="center" wrapText="1"/>
    </xf>
    <xf numFmtId="0" fontId="46" fillId="39" borderId="3" xfId="0" applyFont="1" applyFill="1" applyBorder="1" applyAlignment="1">
      <alignment horizontal="center" vertical="center" wrapText="1"/>
    </xf>
    <xf numFmtId="0" fontId="46" fillId="40" borderId="3" xfId="0" applyFont="1" applyFill="1" applyBorder="1" applyAlignment="1">
      <alignment horizontal="center" vertical="center" wrapText="1"/>
    </xf>
    <xf numFmtId="0" fontId="46" fillId="41" borderId="3" xfId="0" applyFont="1" applyFill="1" applyBorder="1" applyAlignment="1">
      <alignment horizontal="center" vertical="center" wrapText="1"/>
    </xf>
    <xf numFmtId="0" fontId="46" fillId="42" borderId="3" xfId="0" applyFont="1" applyFill="1" applyBorder="1" applyAlignment="1">
      <alignment horizontal="center" vertical="center" wrapText="1"/>
    </xf>
    <xf numFmtId="0" fontId="46" fillId="43" borderId="3" xfId="0" applyFont="1" applyFill="1" applyBorder="1" applyAlignment="1">
      <alignment horizontal="center" vertical="center" wrapText="1"/>
    </xf>
    <xf numFmtId="0" fontId="46" fillId="44" borderId="3" xfId="0" applyFont="1" applyFill="1" applyBorder="1" applyAlignment="1">
      <alignment horizontal="center" vertical="center" wrapText="1"/>
    </xf>
    <xf numFmtId="0" fontId="46" fillId="32" borderId="3" xfId="0" applyFont="1" applyFill="1" applyBorder="1" applyAlignment="1">
      <alignment horizontal="center" vertical="center" wrapText="1"/>
    </xf>
    <xf numFmtId="0" fontId="46" fillId="45" borderId="3" xfId="0" applyFont="1" applyFill="1" applyBorder="1" applyAlignment="1">
      <alignment horizontal="center" vertical="center" wrapText="1"/>
    </xf>
    <xf numFmtId="0" fontId="46" fillId="46" borderId="3" xfId="0" applyFont="1" applyFill="1" applyBorder="1" applyAlignment="1">
      <alignment horizontal="center" vertical="center" wrapText="1"/>
    </xf>
    <xf numFmtId="0" fontId="46" fillId="47" borderId="3" xfId="0" applyFont="1" applyFill="1" applyBorder="1" applyAlignment="1">
      <alignment horizontal="center" vertical="center" wrapText="1"/>
    </xf>
    <xf numFmtId="0" fontId="46" fillId="48" borderId="3" xfId="0" applyFont="1" applyFill="1" applyBorder="1" applyAlignment="1">
      <alignment horizontal="center" vertical="center" wrapText="1"/>
    </xf>
    <xf numFmtId="0" fontId="46" fillId="49" borderId="3" xfId="0" applyFont="1" applyFill="1" applyBorder="1" applyAlignment="1">
      <alignment horizontal="center" vertical="center" wrapText="1"/>
    </xf>
    <xf numFmtId="0" fontId="46" fillId="50" borderId="3" xfId="0" applyFont="1" applyFill="1" applyBorder="1" applyAlignment="1">
      <alignment horizontal="center" vertical="center" wrapText="1"/>
    </xf>
    <xf numFmtId="0" fontId="46" fillId="51" borderId="3" xfId="0" applyFont="1" applyFill="1" applyBorder="1" applyAlignment="1">
      <alignment horizontal="center" vertical="center" wrapText="1"/>
    </xf>
    <xf numFmtId="0" fontId="46" fillId="52" borderId="3" xfId="0" applyFont="1" applyFill="1" applyBorder="1" applyAlignment="1">
      <alignment horizontal="center" vertical="center" wrapText="1"/>
    </xf>
    <xf numFmtId="0" fontId="46" fillId="53" borderId="3" xfId="0" applyFont="1" applyFill="1" applyBorder="1" applyAlignment="1">
      <alignment horizontal="center" vertical="center" wrapText="1"/>
    </xf>
    <xf numFmtId="0" fontId="46" fillId="54" borderId="3" xfId="0" applyFont="1" applyFill="1" applyBorder="1" applyAlignment="1">
      <alignment horizontal="center" vertical="center" wrapText="1"/>
    </xf>
    <xf numFmtId="164" fontId="17" fillId="32" borderId="3" xfId="0" applyNumberFormat="1" applyFont="1" applyFill="1" applyBorder="1" applyAlignment="1">
      <alignment horizontal="right" vertical="center"/>
    </xf>
    <xf numFmtId="164" fontId="16" fillId="32" borderId="3" xfId="0" applyNumberFormat="1" applyFont="1" applyFill="1" applyBorder="1" applyAlignment="1">
      <alignment horizontal="right" vertical="center"/>
    </xf>
    <xf numFmtId="164" fontId="0" fillId="32" borderId="3" xfId="0" applyNumberFormat="1" applyFill="1" applyBorder="1" applyAlignment="1">
      <alignment horizontal="right" vertical="center"/>
    </xf>
    <xf numFmtId="164" fontId="29" fillId="32" borderId="3" xfId="0" applyNumberFormat="1" applyFont="1" applyFill="1" applyBorder="1" applyAlignment="1">
      <alignment horizontal="right" vertical="center"/>
    </xf>
    <xf numFmtId="164" fontId="30" fillId="32" borderId="3" xfId="0" applyNumberFormat="1" applyFont="1" applyFill="1" applyBorder="1" applyAlignment="1">
      <alignment horizontal="right" vertical="center"/>
    </xf>
    <xf numFmtId="164" fontId="17" fillId="34" borderId="3" xfId="0" applyNumberFormat="1" applyFont="1" applyFill="1" applyBorder="1" applyAlignment="1">
      <alignment horizontal="right" vertical="center"/>
    </xf>
    <xf numFmtId="164" fontId="16" fillId="34" borderId="3" xfId="0" applyNumberFormat="1" applyFont="1" applyFill="1" applyBorder="1" applyAlignment="1">
      <alignment horizontal="right" vertical="center"/>
    </xf>
    <xf numFmtId="164" fontId="0" fillId="34" borderId="3" xfId="0" applyNumberFormat="1" applyFill="1" applyBorder="1" applyAlignment="1">
      <alignment horizontal="right" vertical="center"/>
    </xf>
    <xf numFmtId="164" fontId="29" fillId="34" borderId="3" xfId="0" applyNumberFormat="1" applyFont="1" applyFill="1" applyBorder="1" applyAlignment="1">
      <alignment horizontal="right" vertical="center"/>
    </xf>
    <xf numFmtId="164" fontId="30" fillId="34" borderId="3" xfId="0" applyNumberFormat="1" applyFont="1" applyFill="1" applyBorder="1" applyAlignment="1">
      <alignment horizontal="right" vertical="center"/>
    </xf>
    <xf numFmtId="164" fontId="16" fillId="55" borderId="3" xfId="0" applyNumberFormat="1" applyFont="1" applyFill="1" applyBorder="1" applyAlignment="1">
      <alignment horizontal="right" vertical="center"/>
    </xf>
    <xf numFmtId="164" fontId="16" fillId="56" borderId="3" xfId="0" applyNumberFormat="1" applyFont="1" applyFill="1" applyBorder="1" applyAlignment="1">
      <alignment horizontal="right" vertical="center"/>
    </xf>
    <xf numFmtId="4" fontId="5" fillId="4" borderId="2" xfId="0" applyNumberFormat="1" applyFont="1" applyFill="1" applyBorder="1" applyAlignment="1">
      <alignment horizontal="right" vertical="center"/>
    </xf>
    <xf numFmtId="164" fontId="47" fillId="4" borderId="2" xfId="0" applyNumberFormat="1" applyFont="1" applyFill="1" applyBorder="1" applyAlignment="1">
      <alignment horizontal="right" vertical="center"/>
    </xf>
    <xf numFmtId="14" fontId="0" fillId="0" borderId="0" xfId="0" applyNumberFormat="1"/>
    <xf numFmtId="0" fontId="19" fillId="2" borderId="0" xfId="0" applyFont="1" applyFill="1" applyAlignment="1">
      <alignment horizontal="center" vertical="center"/>
    </xf>
    <xf numFmtId="0" fontId="0" fillId="0" borderId="0" xfId="0"/>
    <xf numFmtId="0" fontId="3" fillId="2" borderId="0" xfId="0" applyFont="1" applyFill="1" applyAlignment="1">
      <alignment horizontal="center" vertical="center"/>
    </xf>
    <xf numFmtId="0" fontId="35" fillId="11" borderId="3" xfId="0" applyFont="1" applyFill="1" applyBorder="1" applyAlignment="1">
      <alignment horizontal="center"/>
    </xf>
    <xf numFmtId="0" fontId="0" fillId="0" borderId="5" xfId="0" applyBorder="1"/>
    <xf numFmtId="0" fontId="8" fillId="5" borderId="0" xfId="0" applyFont="1" applyFill="1" applyAlignment="1">
      <alignment horizontal="left" vertical="center" wrapText="1"/>
    </xf>
    <xf numFmtId="0" fontId="33" fillId="20" borderId="4" xfId="0" applyFont="1" applyFill="1" applyBorder="1" applyAlignment="1">
      <alignment horizontal="center"/>
    </xf>
    <xf numFmtId="0" fontId="31" fillId="5" borderId="0" xfId="0" applyFont="1" applyFill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0" fillId="3" borderId="0" xfId="0" applyFill="1"/>
    <xf numFmtId="0" fontId="12" fillId="19" borderId="4" xfId="0" applyFont="1" applyFill="1" applyBorder="1" applyAlignment="1">
      <alignment horizontal="center" vertical="center"/>
    </xf>
    <xf numFmtId="0" fontId="0" fillId="2" borderId="0" xfId="0" applyFill="1"/>
    <xf numFmtId="0" fontId="1" fillId="2" borderId="0" xfId="0" applyFont="1" applyFill="1" applyAlignment="1">
      <alignment horizontal="center" vertical="center"/>
    </xf>
    <xf numFmtId="0" fontId="8" fillId="5" borderId="0" xfId="0" applyFont="1" applyFill="1"/>
    <xf numFmtId="0" fontId="3" fillId="3" borderId="0" xfId="0" applyFont="1" applyFill="1" applyAlignment="1">
      <alignment horizontal="center" vertical="center"/>
    </xf>
    <xf numFmtId="0" fontId="43" fillId="8" borderId="0" xfId="0" applyFont="1" applyFill="1"/>
    <xf numFmtId="0" fontId="3" fillId="23" borderId="0" xfId="0" applyFont="1" applyFill="1" applyAlignment="1">
      <alignment horizontal="center" vertical="center"/>
    </xf>
    <xf numFmtId="0" fontId="18" fillId="5" borderId="0" xfId="0" applyFont="1" applyFill="1"/>
    <xf numFmtId="0" fontId="3" fillId="6" borderId="0" xfId="0" applyFont="1" applyFill="1" applyAlignment="1">
      <alignment horizontal="center" vertical="center"/>
    </xf>
    <xf numFmtId="0" fontId="11" fillId="8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7" fillId="26" borderId="0" xfId="0" applyFont="1" applyFill="1" applyAlignment="1">
      <alignment horizontal="center" vertical="center"/>
    </xf>
    <xf numFmtId="0" fontId="27" fillId="25" borderId="0" xfId="0" applyFont="1" applyFill="1" applyAlignment="1">
      <alignment horizontal="center" vertical="center"/>
    </xf>
    <xf numFmtId="0" fontId="27" fillId="28" borderId="0" xfId="0" applyFont="1" applyFill="1" applyAlignment="1">
      <alignment horizontal="center" vertical="center"/>
    </xf>
    <xf numFmtId="0" fontId="38" fillId="0" borderId="0" xfId="0" applyFont="1"/>
    <xf numFmtId="0" fontId="27" fillId="2" borderId="0" xfId="0" applyFont="1" applyFill="1" applyAlignment="1">
      <alignment horizontal="center" vertical="center"/>
    </xf>
    <xf numFmtId="0" fontId="27" fillId="22" borderId="0" xfId="0" applyFont="1" applyFill="1" applyAlignment="1">
      <alignment horizontal="center" vertical="center"/>
    </xf>
    <xf numFmtId="0" fontId="27" fillId="21" borderId="0" xfId="0" applyFont="1" applyFill="1" applyAlignment="1">
      <alignment horizontal="center" vertical="center"/>
    </xf>
    <xf numFmtId="0" fontId="27" fillId="27" borderId="0" xfId="0" applyFont="1" applyFill="1" applyAlignment="1">
      <alignment horizontal="center" vertical="center"/>
    </xf>
    <xf numFmtId="0" fontId="27" fillId="23" borderId="0" xfId="0" applyFont="1" applyFill="1" applyAlignment="1">
      <alignment horizontal="center" vertical="center"/>
    </xf>
    <xf numFmtId="0" fontId="27" fillId="2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5"/>
  <sheetViews>
    <sheetView showGridLines="0" tabSelected="1" workbookViewId="0">
      <selection activeCell="C26" sqref="C26"/>
    </sheetView>
  </sheetViews>
  <sheetFormatPr baseColWidth="10" defaultColWidth="8.83203125" defaultRowHeight="15" x14ac:dyDescent="0.2"/>
  <cols>
    <col min="1" max="1" width="2" customWidth="1"/>
    <col min="2" max="2" width="36" customWidth="1"/>
    <col min="3" max="3" width="25.1640625" bestFit="1" customWidth="1"/>
    <col min="4" max="4" width="10" customWidth="1"/>
    <col min="5" max="5" width="46.33203125" bestFit="1" customWidth="1"/>
    <col min="6" max="26" width="10" customWidth="1"/>
  </cols>
  <sheetData>
    <row r="1" spans="1:13" ht="30" customHeight="1" x14ac:dyDescent="0.2">
      <c r="A1" s="158" t="s">
        <v>107</v>
      </c>
      <c r="B1" s="147"/>
      <c r="C1" s="147"/>
      <c r="D1" s="147"/>
      <c r="E1" s="147"/>
    </row>
    <row r="2" spans="1:13" ht="13" customHeight="1" x14ac:dyDescent="0.2">
      <c r="A2" s="154" t="s">
        <v>108</v>
      </c>
      <c r="B2" s="147"/>
      <c r="C2" s="147"/>
      <c r="D2" s="147"/>
      <c r="E2" s="147"/>
    </row>
    <row r="4" spans="1:13" ht="20" customHeight="1" x14ac:dyDescent="0.2">
      <c r="A4" s="160" t="s">
        <v>109</v>
      </c>
      <c r="B4" s="147"/>
      <c r="C4" s="147"/>
      <c r="D4" s="147"/>
      <c r="E4" s="147"/>
      <c r="L4" t="s">
        <v>212</v>
      </c>
    </row>
    <row r="5" spans="1:13" ht="18" customHeight="1" x14ac:dyDescent="0.2">
      <c r="B5" s="1" t="s">
        <v>110</v>
      </c>
      <c r="C5" s="2">
        <v>1</v>
      </c>
      <c r="D5" s="3" t="s">
        <v>111</v>
      </c>
      <c r="L5" t="s">
        <v>213</v>
      </c>
      <c r="M5">
        <v>0.55000000000000004</v>
      </c>
    </row>
    <row r="6" spans="1:13" ht="18" customHeight="1" x14ac:dyDescent="0.2">
      <c r="B6" s="1" t="s">
        <v>112</v>
      </c>
      <c r="C6" s="4">
        <v>0.01</v>
      </c>
      <c r="L6" t="s">
        <v>214</v>
      </c>
      <c r="M6">
        <v>0.7</v>
      </c>
    </row>
    <row r="7" spans="1:13" ht="18" customHeight="1" x14ac:dyDescent="0.2">
      <c r="B7" s="1" t="s">
        <v>113</v>
      </c>
      <c r="C7" s="5">
        <v>280</v>
      </c>
      <c r="D7" s="3" t="s">
        <v>114</v>
      </c>
      <c r="E7" s="6" t="s">
        <v>115</v>
      </c>
      <c r="L7" t="s">
        <v>215</v>
      </c>
      <c r="M7">
        <v>0.5</v>
      </c>
    </row>
    <row r="8" spans="1:13" ht="18" customHeight="1" x14ac:dyDescent="0.2">
      <c r="B8" s="1" t="s">
        <v>116</v>
      </c>
      <c r="C8" s="7">
        <f>27+2.9</f>
        <v>29.9</v>
      </c>
      <c r="D8" s="3" t="s">
        <v>117</v>
      </c>
      <c r="L8" t="s">
        <v>216</v>
      </c>
      <c r="M8">
        <v>0.5</v>
      </c>
    </row>
    <row r="9" spans="1:13" ht="18" customHeight="1" x14ac:dyDescent="0.2">
      <c r="B9" s="1" t="s">
        <v>118</v>
      </c>
      <c r="C9" s="8">
        <v>0.4</v>
      </c>
      <c r="D9" s="3" t="s">
        <v>119</v>
      </c>
      <c r="L9" t="s">
        <v>217</v>
      </c>
      <c r="M9">
        <v>0.4</v>
      </c>
    </row>
    <row r="10" spans="1:13" ht="13" customHeight="1" x14ac:dyDescent="0.2">
      <c r="B10" s="159" t="s">
        <v>120</v>
      </c>
      <c r="C10" s="147"/>
      <c r="D10" s="147"/>
      <c r="E10" s="147"/>
    </row>
    <row r="11" spans="1:13" ht="20" customHeight="1" x14ac:dyDescent="0.2">
      <c r="A11" s="164" t="s">
        <v>121</v>
      </c>
      <c r="B11" s="147"/>
      <c r="C11" s="147"/>
      <c r="D11" s="147"/>
      <c r="E11" s="147"/>
    </row>
    <row r="12" spans="1:13" ht="22" customHeight="1" x14ac:dyDescent="0.2">
      <c r="B12" s="9" t="s">
        <v>122</v>
      </c>
      <c r="C12" s="10">
        <f ca="1">IFERROR(INDEX(_xlfn.STOCKHISTORY("EUR/USD",TODAY(),TODAY(),0,0,1),1,1),C13)</f>
        <v>1.1639999999999999</v>
      </c>
      <c r="D12" s="3" t="s">
        <v>123</v>
      </c>
      <c r="E12" s="6" t="s">
        <v>124</v>
      </c>
    </row>
    <row r="13" spans="1:13" ht="18" customHeight="1" x14ac:dyDescent="0.2">
      <c r="B13" s="1" t="s">
        <v>125</v>
      </c>
      <c r="C13" s="11">
        <v>1.1639999999999999</v>
      </c>
      <c r="D13" s="3" t="s">
        <v>123</v>
      </c>
      <c r="E13" s="6" t="s">
        <v>126</v>
      </c>
    </row>
    <row r="14" spans="1:13" ht="22" customHeight="1" x14ac:dyDescent="0.2">
      <c r="B14" s="9" t="s">
        <v>127</v>
      </c>
      <c r="C14" s="12">
        <f ca="1">1/C12</f>
        <v>0.85910652920962205</v>
      </c>
      <c r="D14" s="3" t="s">
        <v>128</v>
      </c>
      <c r="E14" s="6" t="s">
        <v>129</v>
      </c>
    </row>
    <row r="15" spans="1:13" ht="16" customHeight="1" x14ac:dyDescent="0.2">
      <c r="B15" s="165" t="s">
        <v>130</v>
      </c>
      <c r="C15" s="147"/>
      <c r="D15" s="147"/>
      <c r="E15" s="147"/>
    </row>
    <row r="16" spans="1:13" ht="5" customHeight="1" x14ac:dyDescent="0.2"/>
    <row r="17" spans="1:7" ht="20" customHeight="1" x14ac:dyDescent="0.2">
      <c r="A17" s="160" t="s">
        <v>131</v>
      </c>
      <c r="B17" s="147"/>
      <c r="C17" s="147"/>
      <c r="D17" s="147"/>
      <c r="E17" s="147"/>
    </row>
    <row r="18" spans="1:7" ht="20" customHeight="1" x14ac:dyDescent="0.2">
      <c r="B18" s="13" t="s">
        <v>132</v>
      </c>
      <c r="C18" s="13" t="s">
        <v>133</v>
      </c>
      <c r="E18" s="13" t="s">
        <v>134</v>
      </c>
      <c r="G18" s="145">
        <v>46161</v>
      </c>
    </row>
    <row r="19" spans="1:7" ht="17" customHeight="1" x14ac:dyDescent="0.2">
      <c r="B19" s="14" t="s">
        <v>135</v>
      </c>
      <c r="C19" s="15">
        <v>2.35</v>
      </c>
      <c r="E19" s="6" t="s">
        <v>136</v>
      </c>
      <c r="G19">
        <v>2.25</v>
      </c>
    </row>
    <row r="20" spans="1:7" ht="17" customHeight="1" x14ac:dyDescent="0.2">
      <c r="B20" s="16" t="s">
        <v>3</v>
      </c>
      <c r="C20" s="15">
        <v>2.85</v>
      </c>
      <c r="G20">
        <v>2.75</v>
      </c>
    </row>
    <row r="21" spans="1:7" ht="17" customHeight="1" x14ac:dyDescent="0.2">
      <c r="B21" s="14" t="s">
        <v>137</v>
      </c>
      <c r="C21" s="15">
        <v>2.6</v>
      </c>
    </row>
    <row r="22" spans="1:7" ht="17" customHeight="1" x14ac:dyDescent="0.2">
      <c r="B22" s="16" t="s">
        <v>138</v>
      </c>
      <c r="C22" s="15">
        <v>2.6</v>
      </c>
    </row>
    <row r="23" spans="1:7" ht="17" customHeight="1" x14ac:dyDescent="0.2">
      <c r="B23" s="14" t="s">
        <v>139</v>
      </c>
      <c r="C23" s="15">
        <v>2.75</v>
      </c>
      <c r="G23">
        <v>2.6</v>
      </c>
    </row>
    <row r="24" spans="1:7" ht="17" customHeight="1" x14ac:dyDescent="0.2">
      <c r="B24" s="16" t="s">
        <v>140</v>
      </c>
      <c r="C24" s="15">
        <v>4.3</v>
      </c>
      <c r="G24">
        <v>4.3</v>
      </c>
    </row>
    <row r="25" spans="1:7" ht="17" customHeight="1" x14ac:dyDescent="0.2">
      <c r="B25" s="14" t="s">
        <v>218</v>
      </c>
      <c r="C25" s="15">
        <v>2.85</v>
      </c>
    </row>
    <row r="26" spans="1:7" ht="17" customHeight="1" x14ac:dyDescent="0.2">
      <c r="B26" s="16" t="s">
        <v>142</v>
      </c>
      <c r="C26" s="15">
        <v>1.1499999999999999</v>
      </c>
    </row>
    <row r="27" spans="1:7" ht="17" customHeight="1" x14ac:dyDescent="0.2">
      <c r="B27" s="14" t="s">
        <v>143</v>
      </c>
      <c r="C27" s="15">
        <v>2.1</v>
      </c>
    </row>
    <row r="30" spans="1:7" ht="20" customHeight="1" x14ac:dyDescent="0.2">
      <c r="A30" s="160" t="s">
        <v>144</v>
      </c>
      <c r="B30" s="147"/>
      <c r="C30" s="147"/>
      <c r="D30" s="147"/>
      <c r="E30" s="147"/>
    </row>
    <row r="31" spans="1:7" ht="20" customHeight="1" x14ac:dyDescent="0.2">
      <c r="B31" s="13" t="s">
        <v>145</v>
      </c>
      <c r="C31" s="13" t="s">
        <v>146</v>
      </c>
      <c r="D31" s="13" t="s">
        <v>147</v>
      </c>
      <c r="E31" s="13" t="s">
        <v>148</v>
      </c>
    </row>
    <row r="32" spans="1:7" ht="17" customHeight="1" x14ac:dyDescent="0.2">
      <c r="B32" s="17" t="s">
        <v>149</v>
      </c>
      <c r="C32" s="18">
        <v>160</v>
      </c>
      <c r="D32" s="19">
        <f t="shared" ref="D32:D39" si="0">$C$9+$C$8/C32</f>
        <v>0.58687500000000004</v>
      </c>
      <c r="E32" s="20" t="s">
        <v>45</v>
      </c>
    </row>
    <row r="33" spans="1:26" ht="17" customHeight="1" x14ac:dyDescent="0.2">
      <c r="B33" s="21" t="s">
        <v>150</v>
      </c>
      <c r="C33" s="18">
        <v>180</v>
      </c>
      <c r="D33" s="19">
        <f t="shared" si="0"/>
        <v>0.56611111111111112</v>
      </c>
      <c r="E33" s="22" t="s">
        <v>151</v>
      </c>
    </row>
    <row r="34" spans="1:26" ht="17" customHeight="1" x14ac:dyDescent="0.2">
      <c r="B34" s="17" t="s">
        <v>152</v>
      </c>
      <c r="C34" s="18">
        <v>160</v>
      </c>
      <c r="D34" s="19">
        <f t="shared" si="0"/>
        <v>0.58687500000000004</v>
      </c>
      <c r="E34" s="20" t="s">
        <v>153</v>
      </c>
    </row>
    <row r="35" spans="1:26" ht="17" customHeight="1" x14ac:dyDescent="0.2">
      <c r="B35" s="21" t="s">
        <v>154</v>
      </c>
      <c r="C35" s="18">
        <v>120</v>
      </c>
      <c r="D35" s="19">
        <f t="shared" si="0"/>
        <v>0.64916666666666667</v>
      </c>
      <c r="E35" s="22" t="s">
        <v>155</v>
      </c>
    </row>
    <row r="36" spans="1:26" ht="17" customHeight="1" x14ac:dyDescent="0.2">
      <c r="B36" s="17" t="s">
        <v>156</v>
      </c>
      <c r="C36" s="18">
        <v>160</v>
      </c>
      <c r="D36" s="19">
        <f t="shared" si="0"/>
        <v>0.58687500000000004</v>
      </c>
      <c r="E36" s="20" t="s">
        <v>157</v>
      </c>
    </row>
    <row r="37" spans="1:26" ht="17" customHeight="1" x14ac:dyDescent="0.2">
      <c r="B37" s="21" t="s">
        <v>158</v>
      </c>
      <c r="C37" s="18">
        <v>120</v>
      </c>
      <c r="D37" s="19">
        <f t="shared" si="0"/>
        <v>0.64916666666666667</v>
      </c>
      <c r="E37" s="22" t="s">
        <v>159</v>
      </c>
    </row>
    <row r="38" spans="1:26" ht="17" customHeight="1" x14ac:dyDescent="0.2">
      <c r="B38" s="17" t="s">
        <v>160</v>
      </c>
      <c r="C38" s="18">
        <v>160</v>
      </c>
      <c r="D38" s="19">
        <f t="shared" si="0"/>
        <v>0.58687500000000004</v>
      </c>
      <c r="E38" s="20" t="s">
        <v>161</v>
      </c>
    </row>
    <row r="39" spans="1:26" ht="17" customHeight="1" x14ac:dyDescent="0.2">
      <c r="B39" s="21" t="s">
        <v>162</v>
      </c>
      <c r="C39" s="18">
        <v>160</v>
      </c>
      <c r="D39" s="19">
        <f t="shared" si="0"/>
        <v>0.58687500000000004</v>
      </c>
      <c r="E39" s="22" t="s">
        <v>163</v>
      </c>
    </row>
    <row r="41" spans="1:26" ht="20" customHeight="1" x14ac:dyDescent="0.2">
      <c r="A41" s="148" t="s">
        <v>164</v>
      </c>
      <c r="B41" s="147"/>
      <c r="C41" s="147"/>
      <c r="D41" s="147"/>
      <c r="E41" s="147"/>
    </row>
    <row r="42" spans="1:26" ht="20" customHeight="1" x14ac:dyDescent="0.2">
      <c r="B42" s="13" t="s">
        <v>165</v>
      </c>
      <c r="C42" s="13" t="s">
        <v>166</v>
      </c>
      <c r="D42" s="96" t="s">
        <v>167</v>
      </c>
      <c r="E42" s="96" t="s">
        <v>168</v>
      </c>
      <c r="F42" s="96" t="s">
        <v>169</v>
      </c>
      <c r="G42" s="96" t="s">
        <v>170</v>
      </c>
      <c r="H42" s="96" t="s">
        <v>171</v>
      </c>
      <c r="I42" s="96" t="s">
        <v>172</v>
      </c>
      <c r="J42" s="96" t="s">
        <v>173</v>
      </c>
      <c r="K42" s="96" t="s">
        <v>174</v>
      </c>
      <c r="L42" s="96" t="s">
        <v>175</v>
      </c>
      <c r="M42" s="96" t="s">
        <v>176</v>
      </c>
      <c r="N42" s="96" t="s">
        <v>177</v>
      </c>
      <c r="O42" s="96" t="s">
        <v>178</v>
      </c>
      <c r="P42" s="96" t="s">
        <v>179</v>
      </c>
      <c r="Q42" s="96" t="s">
        <v>180</v>
      </c>
      <c r="R42" s="96" t="s">
        <v>181</v>
      </c>
      <c r="S42" s="96" t="s">
        <v>182</v>
      </c>
      <c r="T42" s="96" t="s">
        <v>183</v>
      </c>
      <c r="U42" s="96" t="s">
        <v>184</v>
      </c>
      <c r="V42" s="96" t="s">
        <v>185</v>
      </c>
      <c r="W42" s="96" t="s">
        <v>186</v>
      </c>
      <c r="X42" s="96" t="s">
        <v>187</v>
      </c>
      <c r="Y42" s="96" t="s">
        <v>188</v>
      </c>
      <c r="Z42" s="96" t="s">
        <v>189</v>
      </c>
    </row>
    <row r="43" spans="1:26" ht="17" customHeight="1" x14ac:dyDescent="0.2">
      <c r="B43" s="23" t="s">
        <v>190</v>
      </c>
      <c r="C43" s="24">
        <f t="shared" ref="C43:C50" si="1">C32</f>
        <v>160</v>
      </c>
      <c r="D43" s="97">
        <f t="shared" ref="D43:D50" si="2">$C$7/(1*C32)</f>
        <v>1.75</v>
      </c>
      <c r="E43" s="98">
        <f t="shared" ref="E43:E50" si="3">$C$7/(2*C32)</f>
        <v>0.875</v>
      </c>
      <c r="F43" s="98">
        <f t="shared" ref="F43:F50" si="4">$C$7/(3*C32)</f>
        <v>0.58333333333333337</v>
      </c>
      <c r="G43" s="98">
        <f t="shared" ref="G43:G50" si="5">$C$7/(4*C32)</f>
        <v>0.4375</v>
      </c>
      <c r="H43" s="98">
        <f t="shared" ref="H43:H50" si="6">$C$7/(5*C32)</f>
        <v>0.35</v>
      </c>
      <c r="I43" s="98">
        <f t="shared" ref="I43:I50" si="7">$C$7/(6*C32)</f>
        <v>0.29166666666666669</v>
      </c>
      <c r="J43" s="98">
        <f t="shared" ref="J43:J50" si="8">$C$7/(7*C32)</f>
        <v>0.25</v>
      </c>
      <c r="K43" s="98">
        <f t="shared" ref="K43:K50" si="9">$C$7/(8*C32)</f>
        <v>0.21875</v>
      </c>
      <c r="L43" s="98">
        <f t="shared" ref="L43:L50" si="10">$C$7/(9*C32)</f>
        <v>0.19444444444444445</v>
      </c>
      <c r="M43" s="98">
        <f t="shared" ref="M43:M50" si="11">$C$7/(10*C32)</f>
        <v>0.17499999999999999</v>
      </c>
      <c r="N43" s="98">
        <f t="shared" ref="N43:N50" si="12">$C$7/(11*C32)</f>
        <v>0.15909090909090909</v>
      </c>
      <c r="O43" s="98">
        <f t="shared" ref="O43:O50" si="13">$C$7/(12*C32)</f>
        <v>0.14583333333333334</v>
      </c>
      <c r="P43" s="99">
        <f t="shared" ref="P43:P50" si="14">$C$7/(13*C32)</f>
        <v>0.13461538461538461</v>
      </c>
      <c r="Q43" s="99">
        <f t="shared" ref="Q43:Q50" si="15">$C$7/(14*C32)</f>
        <v>0.125</v>
      </c>
      <c r="R43" s="99">
        <f t="shared" ref="R43:R50" si="16">$C$7/(15*C32)</f>
        <v>0.11666666666666667</v>
      </c>
      <c r="S43" s="99">
        <f t="shared" ref="S43:S50" si="17">$C$7/(16*C32)</f>
        <v>0.109375</v>
      </c>
      <c r="T43" s="99">
        <f t="shared" ref="T43:T50" si="18">$C$7/(17*C32)</f>
        <v>0.10294117647058823</v>
      </c>
      <c r="U43" s="99">
        <f t="shared" ref="U43:U50" si="19">$C$7/(18*C32)</f>
        <v>9.7222222222222224E-2</v>
      </c>
      <c r="V43" s="99">
        <f t="shared" ref="V43:V50" si="20">$C$7/(19*C32)</f>
        <v>9.2105263157894732E-2</v>
      </c>
      <c r="W43" s="99">
        <f t="shared" ref="W43:W50" si="21">$C$7/(20*C32)</f>
        <v>8.7499999999999994E-2</v>
      </c>
      <c r="X43" s="99">
        <f t="shared" ref="X43:X50" si="22">$C$7/(21*C32)</f>
        <v>8.3333333333333329E-2</v>
      </c>
      <c r="Y43" s="99">
        <f t="shared" ref="Y43:Y50" si="23">$C$7/(22*C32)</f>
        <v>7.9545454545454544E-2</v>
      </c>
      <c r="Z43" s="99">
        <f t="shared" ref="Z43:Z50" si="24">$C$7/(23*C32)</f>
        <v>7.6086956521739135E-2</v>
      </c>
    </row>
    <row r="44" spans="1:26" ht="17" customHeight="1" x14ac:dyDescent="0.2">
      <c r="B44" s="25" t="s">
        <v>191</v>
      </c>
      <c r="C44" s="24">
        <f t="shared" si="1"/>
        <v>180</v>
      </c>
      <c r="D44" s="100">
        <f t="shared" si="2"/>
        <v>1.5555555555555556</v>
      </c>
      <c r="E44" s="101">
        <f t="shared" si="3"/>
        <v>0.77777777777777779</v>
      </c>
      <c r="F44" s="101">
        <f t="shared" si="4"/>
        <v>0.51851851851851849</v>
      </c>
      <c r="G44" s="101">
        <f t="shared" si="5"/>
        <v>0.3888888888888889</v>
      </c>
      <c r="H44" s="101">
        <f t="shared" si="6"/>
        <v>0.31111111111111112</v>
      </c>
      <c r="I44" s="101">
        <f t="shared" si="7"/>
        <v>0.25925925925925924</v>
      </c>
      <c r="J44" s="101">
        <f t="shared" si="8"/>
        <v>0.22222222222222221</v>
      </c>
      <c r="K44" s="101">
        <f t="shared" si="9"/>
        <v>0.19444444444444445</v>
      </c>
      <c r="L44" s="101">
        <f t="shared" si="10"/>
        <v>0.1728395061728395</v>
      </c>
      <c r="M44" s="101">
        <f t="shared" si="11"/>
        <v>0.15555555555555556</v>
      </c>
      <c r="N44" s="101">
        <f t="shared" si="12"/>
        <v>0.14141414141414141</v>
      </c>
      <c r="O44" s="101">
        <f t="shared" si="13"/>
        <v>0.12962962962962962</v>
      </c>
      <c r="P44" s="102">
        <f t="shared" si="14"/>
        <v>0.11965811965811966</v>
      </c>
      <c r="Q44" s="102">
        <f t="shared" si="15"/>
        <v>0.1111111111111111</v>
      </c>
      <c r="R44" s="102">
        <f t="shared" si="16"/>
        <v>0.1037037037037037</v>
      </c>
      <c r="S44" s="102">
        <f t="shared" si="17"/>
        <v>9.7222222222222224E-2</v>
      </c>
      <c r="T44" s="102">
        <f t="shared" si="18"/>
        <v>9.1503267973856203E-2</v>
      </c>
      <c r="U44" s="102">
        <f t="shared" si="19"/>
        <v>8.6419753086419748E-2</v>
      </c>
      <c r="V44" s="102">
        <f t="shared" si="20"/>
        <v>8.1871345029239762E-2</v>
      </c>
      <c r="W44" s="102">
        <f t="shared" si="21"/>
        <v>7.7777777777777779E-2</v>
      </c>
      <c r="X44" s="102">
        <f t="shared" si="22"/>
        <v>7.407407407407407E-2</v>
      </c>
      <c r="Y44" s="102">
        <f t="shared" si="23"/>
        <v>7.0707070707070704E-2</v>
      </c>
      <c r="Z44" s="102">
        <f t="shared" si="24"/>
        <v>6.7632850241545889E-2</v>
      </c>
    </row>
    <row r="45" spans="1:26" ht="17" customHeight="1" x14ac:dyDescent="0.2">
      <c r="B45" s="23" t="s">
        <v>192</v>
      </c>
      <c r="C45" s="24">
        <f t="shared" si="1"/>
        <v>160</v>
      </c>
      <c r="D45" s="97">
        <f t="shared" si="2"/>
        <v>1.75</v>
      </c>
      <c r="E45" s="98">
        <f t="shared" si="3"/>
        <v>0.875</v>
      </c>
      <c r="F45" s="98">
        <f t="shared" si="4"/>
        <v>0.58333333333333337</v>
      </c>
      <c r="G45" s="98">
        <f t="shared" si="5"/>
        <v>0.4375</v>
      </c>
      <c r="H45" s="98">
        <f t="shared" si="6"/>
        <v>0.35</v>
      </c>
      <c r="I45" s="98">
        <f t="shared" si="7"/>
        <v>0.29166666666666669</v>
      </c>
      <c r="J45" s="98">
        <f t="shared" si="8"/>
        <v>0.25</v>
      </c>
      <c r="K45" s="98">
        <f t="shared" si="9"/>
        <v>0.21875</v>
      </c>
      <c r="L45" s="98">
        <f t="shared" si="10"/>
        <v>0.19444444444444445</v>
      </c>
      <c r="M45" s="98">
        <f t="shared" si="11"/>
        <v>0.17499999999999999</v>
      </c>
      <c r="N45" s="98">
        <f t="shared" si="12"/>
        <v>0.15909090909090909</v>
      </c>
      <c r="O45" s="98">
        <f t="shared" si="13"/>
        <v>0.14583333333333334</v>
      </c>
      <c r="P45" s="99">
        <f t="shared" si="14"/>
        <v>0.13461538461538461</v>
      </c>
      <c r="Q45" s="99">
        <f t="shared" si="15"/>
        <v>0.125</v>
      </c>
      <c r="R45" s="99">
        <f t="shared" si="16"/>
        <v>0.11666666666666667</v>
      </c>
      <c r="S45" s="99">
        <f t="shared" si="17"/>
        <v>0.109375</v>
      </c>
      <c r="T45" s="99">
        <f t="shared" si="18"/>
        <v>0.10294117647058823</v>
      </c>
      <c r="U45" s="99">
        <f t="shared" si="19"/>
        <v>9.7222222222222224E-2</v>
      </c>
      <c r="V45" s="99">
        <f t="shared" si="20"/>
        <v>9.2105263157894732E-2</v>
      </c>
      <c r="W45" s="99">
        <f t="shared" si="21"/>
        <v>8.7499999999999994E-2</v>
      </c>
      <c r="X45" s="99">
        <f t="shared" si="22"/>
        <v>8.3333333333333329E-2</v>
      </c>
      <c r="Y45" s="99">
        <f t="shared" si="23"/>
        <v>7.9545454545454544E-2</v>
      </c>
      <c r="Z45" s="99">
        <f t="shared" si="24"/>
        <v>7.6086956521739135E-2</v>
      </c>
    </row>
    <row r="46" spans="1:26" ht="17" customHeight="1" x14ac:dyDescent="0.2">
      <c r="B46" s="25" t="s">
        <v>193</v>
      </c>
      <c r="C46" s="24">
        <f t="shared" si="1"/>
        <v>120</v>
      </c>
      <c r="D46" s="100">
        <f t="shared" si="2"/>
        <v>2.3333333333333335</v>
      </c>
      <c r="E46" s="101">
        <f t="shared" si="3"/>
        <v>1.1666666666666667</v>
      </c>
      <c r="F46" s="101">
        <f t="shared" si="4"/>
        <v>0.77777777777777779</v>
      </c>
      <c r="G46" s="101">
        <f t="shared" si="5"/>
        <v>0.58333333333333337</v>
      </c>
      <c r="H46" s="101">
        <f t="shared" si="6"/>
        <v>0.46666666666666667</v>
      </c>
      <c r="I46" s="101">
        <f t="shared" si="7"/>
        <v>0.3888888888888889</v>
      </c>
      <c r="J46" s="101">
        <f t="shared" si="8"/>
        <v>0.33333333333333331</v>
      </c>
      <c r="K46" s="101">
        <f t="shared" si="9"/>
        <v>0.29166666666666669</v>
      </c>
      <c r="L46" s="101">
        <f t="shared" si="10"/>
        <v>0.25925925925925924</v>
      </c>
      <c r="M46" s="101">
        <f t="shared" si="11"/>
        <v>0.23333333333333334</v>
      </c>
      <c r="N46" s="101">
        <f t="shared" si="12"/>
        <v>0.21212121212121213</v>
      </c>
      <c r="O46" s="101">
        <f t="shared" si="13"/>
        <v>0.19444444444444445</v>
      </c>
      <c r="P46" s="102">
        <f t="shared" si="14"/>
        <v>0.17948717948717949</v>
      </c>
      <c r="Q46" s="102">
        <f t="shared" si="15"/>
        <v>0.16666666666666666</v>
      </c>
      <c r="R46" s="102">
        <f t="shared" si="16"/>
        <v>0.15555555555555556</v>
      </c>
      <c r="S46" s="102">
        <f t="shared" si="17"/>
        <v>0.14583333333333334</v>
      </c>
      <c r="T46" s="102">
        <f t="shared" si="18"/>
        <v>0.13725490196078433</v>
      </c>
      <c r="U46" s="102">
        <f t="shared" si="19"/>
        <v>0.12962962962962962</v>
      </c>
      <c r="V46" s="102">
        <f t="shared" si="20"/>
        <v>0.12280701754385964</v>
      </c>
      <c r="W46" s="102">
        <f t="shared" si="21"/>
        <v>0.11666666666666667</v>
      </c>
      <c r="X46" s="102">
        <f t="shared" si="22"/>
        <v>0.1111111111111111</v>
      </c>
      <c r="Y46" s="102">
        <f t="shared" si="23"/>
        <v>0.10606060606060606</v>
      </c>
      <c r="Z46" s="102">
        <f t="shared" si="24"/>
        <v>0.10144927536231885</v>
      </c>
    </row>
    <row r="47" spans="1:26" ht="17" customHeight="1" x14ac:dyDescent="0.2">
      <c r="B47" s="23" t="s">
        <v>194</v>
      </c>
      <c r="C47" s="24">
        <f t="shared" si="1"/>
        <v>160</v>
      </c>
      <c r="D47" s="97">
        <f t="shared" si="2"/>
        <v>1.75</v>
      </c>
      <c r="E47" s="98">
        <f t="shared" si="3"/>
        <v>0.875</v>
      </c>
      <c r="F47" s="98">
        <f t="shared" si="4"/>
        <v>0.58333333333333337</v>
      </c>
      <c r="G47" s="98">
        <f t="shared" si="5"/>
        <v>0.4375</v>
      </c>
      <c r="H47" s="98">
        <f t="shared" si="6"/>
        <v>0.35</v>
      </c>
      <c r="I47" s="98">
        <f t="shared" si="7"/>
        <v>0.29166666666666669</v>
      </c>
      <c r="J47" s="98">
        <f t="shared" si="8"/>
        <v>0.25</v>
      </c>
      <c r="K47" s="98">
        <f t="shared" si="9"/>
        <v>0.21875</v>
      </c>
      <c r="L47" s="98">
        <f t="shared" si="10"/>
        <v>0.19444444444444445</v>
      </c>
      <c r="M47" s="98">
        <f t="shared" si="11"/>
        <v>0.17499999999999999</v>
      </c>
      <c r="N47" s="98">
        <f t="shared" si="12"/>
        <v>0.15909090909090909</v>
      </c>
      <c r="O47" s="98">
        <f t="shared" si="13"/>
        <v>0.14583333333333334</v>
      </c>
      <c r="P47" s="99">
        <f t="shared" si="14"/>
        <v>0.13461538461538461</v>
      </c>
      <c r="Q47" s="99">
        <f t="shared" si="15"/>
        <v>0.125</v>
      </c>
      <c r="R47" s="99">
        <f t="shared" si="16"/>
        <v>0.11666666666666667</v>
      </c>
      <c r="S47" s="99">
        <f t="shared" si="17"/>
        <v>0.109375</v>
      </c>
      <c r="T47" s="99">
        <f t="shared" si="18"/>
        <v>0.10294117647058823</v>
      </c>
      <c r="U47" s="99">
        <f t="shared" si="19"/>
        <v>9.7222222222222224E-2</v>
      </c>
      <c r="V47" s="99">
        <f t="shared" si="20"/>
        <v>9.2105263157894732E-2</v>
      </c>
      <c r="W47" s="99">
        <f t="shared" si="21"/>
        <v>8.7499999999999994E-2</v>
      </c>
      <c r="X47" s="99">
        <f t="shared" si="22"/>
        <v>8.3333333333333329E-2</v>
      </c>
      <c r="Y47" s="99">
        <f t="shared" si="23"/>
        <v>7.9545454545454544E-2</v>
      </c>
      <c r="Z47" s="99">
        <f t="shared" si="24"/>
        <v>7.6086956521739135E-2</v>
      </c>
    </row>
    <row r="48" spans="1:26" ht="17" customHeight="1" x14ac:dyDescent="0.2">
      <c r="B48" s="25" t="s">
        <v>195</v>
      </c>
      <c r="C48" s="24">
        <f t="shared" si="1"/>
        <v>120</v>
      </c>
      <c r="D48" s="100">
        <f t="shared" si="2"/>
        <v>2.3333333333333335</v>
      </c>
      <c r="E48" s="101">
        <f t="shared" si="3"/>
        <v>1.1666666666666667</v>
      </c>
      <c r="F48" s="101">
        <f t="shared" si="4"/>
        <v>0.77777777777777779</v>
      </c>
      <c r="G48" s="101">
        <f t="shared" si="5"/>
        <v>0.58333333333333337</v>
      </c>
      <c r="H48" s="101">
        <f t="shared" si="6"/>
        <v>0.46666666666666667</v>
      </c>
      <c r="I48" s="101">
        <f t="shared" si="7"/>
        <v>0.3888888888888889</v>
      </c>
      <c r="J48" s="101">
        <f t="shared" si="8"/>
        <v>0.33333333333333331</v>
      </c>
      <c r="K48" s="101">
        <f t="shared" si="9"/>
        <v>0.29166666666666669</v>
      </c>
      <c r="L48" s="101">
        <f t="shared" si="10"/>
        <v>0.25925925925925924</v>
      </c>
      <c r="M48" s="101">
        <f t="shared" si="11"/>
        <v>0.23333333333333334</v>
      </c>
      <c r="N48" s="101">
        <f t="shared" si="12"/>
        <v>0.21212121212121213</v>
      </c>
      <c r="O48" s="101">
        <f t="shared" si="13"/>
        <v>0.19444444444444445</v>
      </c>
      <c r="P48" s="102">
        <f t="shared" si="14"/>
        <v>0.17948717948717949</v>
      </c>
      <c r="Q48" s="102">
        <f t="shared" si="15"/>
        <v>0.16666666666666666</v>
      </c>
      <c r="R48" s="102">
        <f t="shared" si="16"/>
        <v>0.15555555555555556</v>
      </c>
      <c r="S48" s="102">
        <f t="shared" si="17"/>
        <v>0.14583333333333334</v>
      </c>
      <c r="T48" s="102">
        <f t="shared" si="18"/>
        <v>0.13725490196078433</v>
      </c>
      <c r="U48" s="102">
        <f t="shared" si="19"/>
        <v>0.12962962962962962</v>
      </c>
      <c r="V48" s="102">
        <f t="shared" si="20"/>
        <v>0.12280701754385964</v>
      </c>
      <c r="W48" s="102">
        <f t="shared" si="21"/>
        <v>0.11666666666666667</v>
      </c>
      <c r="X48" s="102">
        <f t="shared" si="22"/>
        <v>0.1111111111111111</v>
      </c>
      <c r="Y48" s="102">
        <f t="shared" si="23"/>
        <v>0.10606060606060606</v>
      </c>
      <c r="Z48" s="102">
        <f t="shared" si="24"/>
        <v>0.10144927536231885</v>
      </c>
    </row>
    <row r="49" spans="1:26" ht="17" customHeight="1" x14ac:dyDescent="0.2">
      <c r="B49" s="23" t="s">
        <v>196</v>
      </c>
      <c r="C49" s="24">
        <f t="shared" si="1"/>
        <v>160</v>
      </c>
      <c r="D49" s="97">
        <f t="shared" si="2"/>
        <v>1.75</v>
      </c>
      <c r="E49" s="98">
        <f t="shared" si="3"/>
        <v>0.875</v>
      </c>
      <c r="F49" s="98">
        <f t="shared" si="4"/>
        <v>0.58333333333333337</v>
      </c>
      <c r="G49" s="98">
        <f t="shared" si="5"/>
        <v>0.4375</v>
      </c>
      <c r="H49" s="98">
        <f t="shared" si="6"/>
        <v>0.35</v>
      </c>
      <c r="I49" s="98">
        <f t="shared" si="7"/>
        <v>0.29166666666666669</v>
      </c>
      <c r="J49" s="98">
        <f t="shared" si="8"/>
        <v>0.25</v>
      </c>
      <c r="K49" s="98">
        <f t="shared" si="9"/>
        <v>0.21875</v>
      </c>
      <c r="L49" s="98">
        <f t="shared" si="10"/>
        <v>0.19444444444444445</v>
      </c>
      <c r="M49" s="98">
        <f t="shared" si="11"/>
        <v>0.17499999999999999</v>
      </c>
      <c r="N49" s="98">
        <f t="shared" si="12"/>
        <v>0.15909090909090909</v>
      </c>
      <c r="O49" s="98">
        <f t="shared" si="13"/>
        <v>0.14583333333333334</v>
      </c>
      <c r="P49" s="99">
        <f t="shared" si="14"/>
        <v>0.13461538461538461</v>
      </c>
      <c r="Q49" s="99">
        <f t="shared" si="15"/>
        <v>0.125</v>
      </c>
      <c r="R49" s="99">
        <f t="shared" si="16"/>
        <v>0.11666666666666667</v>
      </c>
      <c r="S49" s="99">
        <f t="shared" si="17"/>
        <v>0.109375</v>
      </c>
      <c r="T49" s="99">
        <f t="shared" si="18"/>
        <v>0.10294117647058823</v>
      </c>
      <c r="U49" s="99">
        <f t="shared" si="19"/>
        <v>9.7222222222222224E-2</v>
      </c>
      <c r="V49" s="99">
        <f t="shared" si="20"/>
        <v>9.2105263157894732E-2</v>
      </c>
      <c r="W49" s="99">
        <f t="shared" si="21"/>
        <v>8.7499999999999994E-2</v>
      </c>
      <c r="X49" s="99">
        <f t="shared" si="22"/>
        <v>8.3333333333333329E-2</v>
      </c>
      <c r="Y49" s="99">
        <f t="shared" si="23"/>
        <v>7.9545454545454544E-2</v>
      </c>
      <c r="Z49" s="99">
        <f t="shared" si="24"/>
        <v>7.6086956521739135E-2</v>
      </c>
    </row>
    <row r="50" spans="1:26" ht="17" customHeight="1" x14ac:dyDescent="0.2">
      <c r="B50" s="25" t="s">
        <v>197</v>
      </c>
      <c r="C50" s="24">
        <f t="shared" si="1"/>
        <v>160</v>
      </c>
      <c r="D50" s="100">
        <f t="shared" si="2"/>
        <v>1.75</v>
      </c>
      <c r="E50" s="101">
        <f t="shared" si="3"/>
        <v>0.875</v>
      </c>
      <c r="F50" s="101">
        <f t="shared" si="4"/>
        <v>0.58333333333333337</v>
      </c>
      <c r="G50" s="101">
        <f t="shared" si="5"/>
        <v>0.4375</v>
      </c>
      <c r="H50" s="101">
        <f t="shared" si="6"/>
        <v>0.35</v>
      </c>
      <c r="I50" s="101">
        <f t="shared" si="7"/>
        <v>0.29166666666666669</v>
      </c>
      <c r="J50" s="101">
        <f t="shared" si="8"/>
        <v>0.25</v>
      </c>
      <c r="K50" s="101">
        <f t="shared" si="9"/>
        <v>0.21875</v>
      </c>
      <c r="L50" s="101">
        <f t="shared" si="10"/>
        <v>0.19444444444444445</v>
      </c>
      <c r="M50" s="101">
        <f t="shared" si="11"/>
        <v>0.17499999999999999</v>
      </c>
      <c r="N50" s="101">
        <f t="shared" si="12"/>
        <v>0.15909090909090909</v>
      </c>
      <c r="O50" s="101">
        <f t="shared" si="13"/>
        <v>0.14583333333333334</v>
      </c>
      <c r="P50" s="102">
        <f t="shared" si="14"/>
        <v>0.13461538461538461</v>
      </c>
      <c r="Q50" s="102">
        <f t="shared" si="15"/>
        <v>0.125</v>
      </c>
      <c r="R50" s="102">
        <f t="shared" si="16"/>
        <v>0.11666666666666667</v>
      </c>
      <c r="S50" s="102">
        <f t="shared" si="17"/>
        <v>0.109375</v>
      </c>
      <c r="T50" s="102">
        <f t="shared" si="18"/>
        <v>0.10294117647058823</v>
      </c>
      <c r="U50" s="102">
        <f t="shared" si="19"/>
        <v>9.7222222222222224E-2</v>
      </c>
      <c r="V50" s="102">
        <f t="shared" si="20"/>
        <v>9.2105263157894732E-2</v>
      </c>
      <c r="W50" s="102">
        <f t="shared" si="21"/>
        <v>8.7499999999999994E-2</v>
      </c>
      <c r="X50" s="102">
        <f t="shared" si="22"/>
        <v>8.3333333333333329E-2</v>
      </c>
      <c r="Y50" s="102">
        <f t="shared" si="23"/>
        <v>7.9545454545454544E-2</v>
      </c>
      <c r="Z50" s="102">
        <f t="shared" si="24"/>
        <v>7.6086956521739135E-2</v>
      </c>
    </row>
    <row r="52" spans="1:26" ht="13" customHeight="1" x14ac:dyDescent="0.2">
      <c r="B52" s="163" t="s">
        <v>198</v>
      </c>
      <c r="C52" s="147"/>
      <c r="D52" s="147"/>
      <c r="E52" s="147"/>
      <c r="F52" s="147"/>
      <c r="G52" s="147"/>
      <c r="H52" s="147"/>
      <c r="I52" s="147"/>
      <c r="J52" s="147"/>
      <c r="K52" s="147"/>
      <c r="L52" s="147"/>
      <c r="M52" s="147"/>
      <c r="N52" s="147"/>
      <c r="O52" s="147"/>
    </row>
    <row r="54" spans="1:26" ht="16" customHeight="1" thickBot="1" x14ac:dyDescent="0.25">
      <c r="A54" s="162" t="s">
        <v>199</v>
      </c>
      <c r="B54" s="147"/>
      <c r="C54" s="147"/>
      <c r="D54" s="147"/>
      <c r="E54" s="147"/>
    </row>
    <row r="55" spans="1:26" ht="16" customHeight="1" thickBot="1" x14ac:dyDescent="0.25">
      <c r="B55" s="1" t="s">
        <v>200</v>
      </c>
      <c r="C55" s="5">
        <v>60</v>
      </c>
      <c r="D55" s="3" t="s">
        <v>114</v>
      </c>
      <c r="E55" s="6" t="s">
        <v>201</v>
      </c>
    </row>
    <row r="56" spans="1:26" ht="26" customHeight="1" x14ac:dyDescent="0.2">
      <c r="B56" s="94" t="s">
        <v>165</v>
      </c>
      <c r="C56" s="94" t="s">
        <v>166</v>
      </c>
      <c r="D56" s="103" t="s">
        <v>167</v>
      </c>
      <c r="E56" s="103" t="s">
        <v>168</v>
      </c>
      <c r="F56" s="103" t="s">
        <v>169</v>
      </c>
      <c r="G56" s="103" t="s">
        <v>170</v>
      </c>
      <c r="H56" s="103" t="s">
        <v>171</v>
      </c>
      <c r="I56" s="103" t="s">
        <v>172</v>
      </c>
      <c r="J56" s="103" t="s">
        <v>173</v>
      </c>
      <c r="K56" s="103" t="s">
        <v>174</v>
      </c>
      <c r="L56" s="103" t="s">
        <v>175</v>
      </c>
      <c r="M56" s="103" t="s">
        <v>176</v>
      </c>
      <c r="N56" s="103" t="s">
        <v>177</v>
      </c>
      <c r="O56" s="103" t="s">
        <v>178</v>
      </c>
      <c r="P56" s="103" t="s">
        <v>179</v>
      </c>
      <c r="Q56" s="103" t="s">
        <v>180</v>
      </c>
      <c r="R56" s="103" t="s">
        <v>181</v>
      </c>
      <c r="S56" s="103" t="s">
        <v>182</v>
      </c>
      <c r="T56" s="103" t="s">
        <v>183</v>
      </c>
      <c r="U56" s="103" t="s">
        <v>184</v>
      </c>
      <c r="V56" s="103" t="s">
        <v>185</v>
      </c>
      <c r="W56" s="103" t="s">
        <v>186</v>
      </c>
      <c r="X56" s="103" t="s">
        <v>187</v>
      </c>
      <c r="Y56" s="103" t="s">
        <v>188</v>
      </c>
      <c r="Z56" s="103" t="s">
        <v>189</v>
      </c>
    </row>
    <row r="57" spans="1:26" x14ac:dyDescent="0.2">
      <c r="B57" s="95" t="s">
        <v>190</v>
      </c>
      <c r="C57" s="24">
        <f t="shared" ref="C57:C64" si="25">C32</f>
        <v>160</v>
      </c>
      <c r="D57" s="104">
        <f t="shared" ref="D57:D64" si="26">$C$55/(1*C32)</f>
        <v>0.375</v>
      </c>
      <c r="E57" s="105">
        <f t="shared" ref="E57:E64" si="27">$C$55/(2*C32)</f>
        <v>0.1875</v>
      </c>
      <c r="F57" s="106">
        <f t="shared" ref="F57:F64" si="28">$C$55/(3*C32)</f>
        <v>0.125</v>
      </c>
      <c r="G57" s="106">
        <f t="shared" ref="G57:G64" si="29">$C$55/(4*C32)</f>
        <v>9.375E-2</v>
      </c>
      <c r="H57" s="106">
        <f t="shared" ref="H57:H64" si="30">$C$55/(5*C32)</f>
        <v>7.4999999999999997E-2</v>
      </c>
      <c r="I57" s="106">
        <f t="shared" ref="I57:I64" si="31">$C$55/(6*C32)</f>
        <v>6.25E-2</v>
      </c>
      <c r="J57" s="106">
        <f t="shared" ref="J57:J64" si="32">$C$55/(7*C32)</f>
        <v>5.3571428571428568E-2</v>
      </c>
      <c r="K57" s="106">
        <f t="shared" ref="K57:K64" si="33">$C$55/(8*C32)</f>
        <v>4.6875E-2</v>
      </c>
      <c r="L57" s="106">
        <f t="shared" ref="L57:L64" si="34">$C$55/(9*C32)</f>
        <v>4.1666666666666664E-2</v>
      </c>
      <c r="M57" s="106">
        <f t="shared" ref="M57:M64" si="35">$C$55/(10*C32)</f>
        <v>3.7499999999999999E-2</v>
      </c>
      <c r="N57" s="106">
        <f t="shared" ref="N57:N64" si="36">$C$55/(11*C32)</f>
        <v>3.4090909090909088E-2</v>
      </c>
      <c r="O57" s="106">
        <f t="shared" ref="O57:O64" si="37">$C$55/(12*C32)</f>
        <v>3.125E-2</v>
      </c>
      <c r="P57" s="107">
        <f t="shared" ref="P57:P64" si="38">$C$55/(13*C32)</f>
        <v>2.8846153846153848E-2</v>
      </c>
      <c r="Q57" s="107">
        <f t="shared" ref="Q57:Q64" si="39">$C$55/(14*C32)</f>
        <v>2.6785714285714284E-2</v>
      </c>
      <c r="R57" s="107">
        <f t="shared" ref="R57:R64" si="40">$C$55/(15*C32)</f>
        <v>2.5000000000000001E-2</v>
      </c>
      <c r="S57" s="107">
        <f t="shared" ref="S57:S64" si="41">$C$55/(16*C32)</f>
        <v>2.34375E-2</v>
      </c>
      <c r="T57" s="107">
        <f t="shared" ref="T57:T64" si="42">$C$55/(17*C32)</f>
        <v>2.2058823529411766E-2</v>
      </c>
      <c r="U57" s="107">
        <f t="shared" ref="U57:U64" si="43">$C$55/(18*C32)</f>
        <v>2.0833333333333332E-2</v>
      </c>
      <c r="V57" s="107">
        <f t="shared" ref="V57:V64" si="44">$C$55/(19*C32)</f>
        <v>1.9736842105263157E-2</v>
      </c>
      <c r="W57" s="107">
        <f t="shared" ref="W57:W64" si="45">$C$55/(20*C32)</f>
        <v>1.8749999999999999E-2</v>
      </c>
      <c r="X57" s="107">
        <f t="shared" ref="X57:X64" si="46">$C$55/(21*C32)</f>
        <v>1.7857142857142856E-2</v>
      </c>
      <c r="Y57" s="107">
        <f t="shared" ref="Y57:Y64" si="47">$C$55/(22*C32)</f>
        <v>1.7045454545454544E-2</v>
      </c>
      <c r="Z57" s="107">
        <f t="shared" ref="Z57:Z64" si="48">$C$55/(23*C32)</f>
        <v>1.6304347826086956E-2</v>
      </c>
    </row>
    <row r="58" spans="1:26" x14ac:dyDescent="0.2">
      <c r="B58" s="25" t="s">
        <v>191</v>
      </c>
      <c r="C58" s="24">
        <f t="shared" si="25"/>
        <v>180</v>
      </c>
      <c r="D58" s="108">
        <f t="shared" si="26"/>
        <v>0.33333333333333331</v>
      </c>
      <c r="E58" s="100">
        <f t="shared" si="27"/>
        <v>0.16666666666666666</v>
      </c>
      <c r="F58" s="101">
        <f t="shared" si="28"/>
        <v>0.1111111111111111</v>
      </c>
      <c r="G58" s="101">
        <f t="shared" si="29"/>
        <v>8.3333333333333329E-2</v>
      </c>
      <c r="H58" s="101">
        <f t="shared" si="30"/>
        <v>6.6666666666666666E-2</v>
      </c>
      <c r="I58" s="101">
        <f t="shared" si="31"/>
        <v>5.5555555555555552E-2</v>
      </c>
      <c r="J58" s="101">
        <f t="shared" si="32"/>
        <v>4.7619047619047616E-2</v>
      </c>
      <c r="K58" s="101">
        <f t="shared" si="33"/>
        <v>4.1666666666666664E-2</v>
      </c>
      <c r="L58" s="101">
        <f t="shared" si="34"/>
        <v>3.7037037037037035E-2</v>
      </c>
      <c r="M58" s="101">
        <f t="shared" si="35"/>
        <v>3.3333333333333333E-2</v>
      </c>
      <c r="N58" s="101">
        <f t="shared" si="36"/>
        <v>3.0303030303030304E-2</v>
      </c>
      <c r="O58" s="101">
        <f t="shared" si="37"/>
        <v>2.7777777777777776E-2</v>
      </c>
      <c r="P58" s="102">
        <f t="shared" si="38"/>
        <v>2.564102564102564E-2</v>
      </c>
      <c r="Q58" s="102">
        <f t="shared" si="39"/>
        <v>2.3809523809523808E-2</v>
      </c>
      <c r="R58" s="102">
        <f t="shared" si="40"/>
        <v>2.2222222222222223E-2</v>
      </c>
      <c r="S58" s="102">
        <f t="shared" si="41"/>
        <v>2.0833333333333332E-2</v>
      </c>
      <c r="T58" s="102">
        <f t="shared" si="42"/>
        <v>1.9607843137254902E-2</v>
      </c>
      <c r="U58" s="102">
        <f t="shared" si="43"/>
        <v>1.8518518518518517E-2</v>
      </c>
      <c r="V58" s="102">
        <f t="shared" si="44"/>
        <v>1.7543859649122806E-2</v>
      </c>
      <c r="W58" s="102">
        <f t="shared" si="45"/>
        <v>1.6666666666666666E-2</v>
      </c>
      <c r="X58" s="102">
        <f t="shared" si="46"/>
        <v>1.5873015873015872E-2</v>
      </c>
      <c r="Y58" s="102">
        <f t="shared" si="47"/>
        <v>1.5151515151515152E-2</v>
      </c>
      <c r="Z58" s="102">
        <f t="shared" si="48"/>
        <v>1.4492753623188406E-2</v>
      </c>
    </row>
    <row r="59" spans="1:26" x14ac:dyDescent="0.2">
      <c r="B59" s="95" t="s">
        <v>192</v>
      </c>
      <c r="C59" s="24">
        <f t="shared" si="25"/>
        <v>160</v>
      </c>
      <c r="D59" s="104">
        <f t="shared" si="26"/>
        <v>0.375</v>
      </c>
      <c r="E59" s="105">
        <f t="shared" si="27"/>
        <v>0.1875</v>
      </c>
      <c r="F59" s="106">
        <f t="shared" si="28"/>
        <v>0.125</v>
      </c>
      <c r="G59" s="106">
        <f t="shared" si="29"/>
        <v>9.375E-2</v>
      </c>
      <c r="H59" s="106">
        <f t="shared" si="30"/>
        <v>7.4999999999999997E-2</v>
      </c>
      <c r="I59" s="106">
        <f t="shared" si="31"/>
        <v>6.25E-2</v>
      </c>
      <c r="J59" s="106">
        <f t="shared" si="32"/>
        <v>5.3571428571428568E-2</v>
      </c>
      <c r="K59" s="106">
        <f t="shared" si="33"/>
        <v>4.6875E-2</v>
      </c>
      <c r="L59" s="106">
        <f t="shared" si="34"/>
        <v>4.1666666666666664E-2</v>
      </c>
      <c r="M59" s="106">
        <f t="shared" si="35"/>
        <v>3.7499999999999999E-2</v>
      </c>
      <c r="N59" s="106">
        <f t="shared" si="36"/>
        <v>3.4090909090909088E-2</v>
      </c>
      <c r="O59" s="106">
        <f t="shared" si="37"/>
        <v>3.125E-2</v>
      </c>
      <c r="P59" s="107">
        <f t="shared" si="38"/>
        <v>2.8846153846153848E-2</v>
      </c>
      <c r="Q59" s="107">
        <f t="shared" si="39"/>
        <v>2.6785714285714284E-2</v>
      </c>
      <c r="R59" s="107">
        <f t="shared" si="40"/>
        <v>2.5000000000000001E-2</v>
      </c>
      <c r="S59" s="107">
        <f t="shared" si="41"/>
        <v>2.34375E-2</v>
      </c>
      <c r="T59" s="107">
        <f t="shared" si="42"/>
        <v>2.2058823529411766E-2</v>
      </c>
      <c r="U59" s="107">
        <f t="shared" si="43"/>
        <v>2.0833333333333332E-2</v>
      </c>
      <c r="V59" s="107">
        <f t="shared" si="44"/>
        <v>1.9736842105263157E-2</v>
      </c>
      <c r="W59" s="107">
        <f t="shared" si="45"/>
        <v>1.8749999999999999E-2</v>
      </c>
      <c r="X59" s="107">
        <f t="shared" si="46"/>
        <v>1.7857142857142856E-2</v>
      </c>
      <c r="Y59" s="107">
        <f t="shared" si="47"/>
        <v>1.7045454545454544E-2</v>
      </c>
      <c r="Z59" s="107">
        <f t="shared" si="48"/>
        <v>1.6304347826086956E-2</v>
      </c>
    </row>
    <row r="60" spans="1:26" x14ac:dyDescent="0.2">
      <c r="B60" s="25" t="s">
        <v>193</v>
      </c>
      <c r="C60" s="24">
        <f t="shared" si="25"/>
        <v>120</v>
      </c>
      <c r="D60" s="108">
        <f t="shared" si="26"/>
        <v>0.5</v>
      </c>
      <c r="E60" s="100">
        <f t="shared" si="27"/>
        <v>0.25</v>
      </c>
      <c r="F60" s="101">
        <f t="shared" si="28"/>
        <v>0.16666666666666666</v>
      </c>
      <c r="G60" s="101">
        <f t="shared" si="29"/>
        <v>0.125</v>
      </c>
      <c r="H60" s="101">
        <f t="shared" si="30"/>
        <v>0.1</v>
      </c>
      <c r="I60" s="101">
        <f t="shared" si="31"/>
        <v>8.3333333333333329E-2</v>
      </c>
      <c r="J60" s="101">
        <f t="shared" si="32"/>
        <v>7.1428571428571425E-2</v>
      </c>
      <c r="K60" s="101">
        <f t="shared" si="33"/>
        <v>6.25E-2</v>
      </c>
      <c r="L60" s="101">
        <f t="shared" si="34"/>
        <v>5.5555555555555552E-2</v>
      </c>
      <c r="M60" s="101">
        <f t="shared" si="35"/>
        <v>0.05</v>
      </c>
      <c r="N60" s="101">
        <f t="shared" si="36"/>
        <v>4.5454545454545456E-2</v>
      </c>
      <c r="O60" s="101">
        <f t="shared" si="37"/>
        <v>4.1666666666666664E-2</v>
      </c>
      <c r="P60" s="102">
        <f t="shared" si="38"/>
        <v>3.8461538461538464E-2</v>
      </c>
      <c r="Q60" s="102">
        <f t="shared" si="39"/>
        <v>3.5714285714285712E-2</v>
      </c>
      <c r="R60" s="102">
        <f t="shared" si="40"/>
        <v>3.3333333333333333E-2</v>
      </c>
      <c r="S60" s="102">
        <f t="shared" si="41"/>
        <v>3.125E-2</v>
      </c>
      <c r="T60" s="102">
        <f t="shared" si="42"/>
        <v>2.9411764705882353E-2</v>
      </c>
      <c r="U60" s="102">
        <f t="shared" si="43"/>
        <v>2.7777777777777776E-2</v>
      </c>
      <c r="V60" s="102">
        <f t="shared" si="44"/>
        <v>2.6315789473684209E-2</v>
      </c>
      <c r="W60" s="102">
        <f t="shared" si="45"/>
        <v>2.5000000000000001E-2</v>
      </c>
      <c r="X60" s="102">
        <f t="shared" si="46"/>
        <v>2.3809523809523808E-2</v>
      </c>
      <c r="Y60" s="102">
        <f t="shared" si="47"/>
        <v>2.2727272727272728E-2</v>
      </c>
      <c r="Z60" s="102">
        <f t="shared" si="48"/>
        <v>2.1739130434782608E-2</v>
      </c>
    </row>
    <row r="61" spans="1:26" x14ac:dyDescent="0.2">
      <c r="B61" s="95" t="s">
        <v>194</v>
      </c>
      <c r="C61" s="24">
        <f t="shared" si="25"/>
        <v>160</v>
      </c>
      <c r="D61" s="104">
        <f t="shared" si="26"/>
        <v>0.375</v>
      </c>
      <c r="E61" s="105">
        <f t="shared" si="27"/>
        <v>0.1875</v>
      </c>
      <c r="F61" s="106">
        <f t="shared" si="28"/>
        <v>0.125</v>
      </c>
      <c r="G61" s="106">
        <f t="shared" si="29"/>
        <v>9.375E-2</v>
      </c>
      <c r="H61" s="106">
        <f t="shared" si="30"/>
        <v>7.4999999999999997E-2</v>
      </c>
      <c r="I61" s="106">
        <f t="shared" si="31"/>
        <v>6.25E-2</v>
      </c>
      <c r="J61" s="106">
        <f t="shared" si="32"/>
        <v>5.3571428571428568E-2</v>
      </c>
      <c r="K61" s="106">
        <f t="shared" si="33"/>
        <v>4.6875E-2</v>
      </c>
      <c r="L61" s="106">
        <f t="shared" si="34"/>
        <v>4.1666666666666664E-2</v>
      </c>
      <c r="M61" s="106">
        <f t="shared" si="35"/>
        <v>3.7499999999999999E-2</v>
      </c>
      <c r="N61" s="106">
        <f t="shared" si="36"/>
        <v>3.4090909090909088E-2</v>
      </c>
      <c r="O61" s="106">
        <f t="shared" si="37"/>
        <v>3.125E-2</v>
      </c>
      <c r="P61" s="107">
        <f t="shared" si="38"/>
        <v>2.8846153846153848E-2</v>
      </c>
      <c r="Q61" s="107">
        <f t="shared" si="39"/>
        <v>2.6785714285714284E-2</v>
      </c>
      <c r="R61" s="107">
        <f t="shared" si="40"/>
        <v>2.5000000000000001E-2</v>
      </c>
      <c r="S61" s="107">
        <f t="shared" si="41"/>
        <v>2.34375E-2</v>
      </c>
      <c r="T61" s="107">
        <f t="shared" si="42"/>
        <v>2.2058823529411766E-2</v>
      </c>
      <c r="U61" s="107">
        <f t="shared" si="43"/>
        <v>2.0833333333333332E-2</v>
      </c>
      <c r="V61" s="107">
        <f t="shared" si="44"/>
        <v>1.9736842105263157E-2</v>
      </c>
      <c r="W61" s="107">
        <f t="shared" si="45"/>
        <v>1.8749999999999999E-2</v>
      </c>
      <c r="X61" s="107">
        <f t="shared" si="46"/>
        <v>1.7857142857142856E-2</v>
      </c>
      <c r="Y61" s="107">
        <f t="shared" si="47"/>
        <v>1.7045454545454544E-2</v>
      </c>
      <c r="Z61" s="107">
        <f t="shared" si="48"/>
        <v>1.6304347826086956E-2</v>
      </c>
    </row>
    <row r="62" spans="1:26" x14ac:dyDescent="0.2">
      <c r="B62" s="25" t="s">
        <v>195</v>
      </c>
      <c r="C62" s="24">
        <f t="shared" si="25"/>
        <v>120</v>
      </c>
      <c r="D62" s="108">
        <f t="shared" si="26"/>
        <v>0.5</v>
      </c>
      <c r="E62" s="100">
        <f t="shared" si="27"/>
        <v>0.25</v>
      </c>
      <c r="F62" s="101">
        <f t="shared" si="28"/>
        <v>0.16666666666666666</v>
      </c>
      <c r="G62" s="101">
        <f t="shared" si="29"/>
        <v>0.125</v>
      </c>
      <c r="H62" s="101">
        <f t="shared" si="30"/>
        <v>0.1</v>
      </c>
      <c r="I62" s="101">
        <f t="shared" si="31"/>
        <v>8.3333333333333329E-2</v>
      </c>
      <c r="J62" s="101">
        <f t="shared" si="32"/>
        <v>7.1428571428571425E-2</v>
      </c>
      <c r="K62" s="101">
        <f t="shared" si="33"/>
        <v>6.25E-2</v>
      </c>
      <c r="L62" s="101">
        <f t="shared" si="34"/>
        <v>5.5555555555555552E-2</v>
      </c>
      <c r="M62" s="101">
        <f t="shared" si="35"/>
        <v>0.05</v>
      </c>
      <c r="N62" s="101">
        <f t="shared" si="36"/>
        <v>4.5454545454545456E-2</v>
      </c>
      <c r="O62" s="101">
        <f t="shared" si="37"/>
        <v>4.1666666666666664E-2</v>
      </c>
      <c r="P62" s="102">
        <f t="shared" si="38"/>
        <v>3.8461538461538464E-2</v>
      </c>
      <c r="Q62" s="102">
        <f t="shared" si="39"/>
        <v>3.5714285714285712E-2</v>
      </c>
      <c r="R62" s="102">
        <f t="shared" si="40"/>
        <v>3.3333333333333333E-2</v>
      </c>
      <c r="S62" s="102">
        <f t="shared" si="41"/>
        <v>3.125E-2</v>
      </c>
      <c r="T62" s="102">
        <f t="shared" si="42"/>
        <v>2.9411764705882353E-2</v>
      </c>
      <c r="U62" s="102">
        <f t="shared" si="43"/>
        <v>2.7777777777777776E-2</v>
      </c>
      <c r="V62" s="102">
        <f t="shared" si="44"/>
        <v>2.6315789473684209E-2</v>
      </c>
      <c r="W62" s="102">
        <f t="shared" si="45"/>
        <v>2.5000000000000001E-2</v>
      </c>
      <c r="X62" s="102">
        <f t="shared" si="46"/>
        <v>2.3809523809523808E-2</v>
      </c>
      <c r="Y62" s="102">
        <f t="shared" si="47"/>
        <v>2.2727272727272728E-2</v>
      </c>
      <c r="Z62" s="102">
        <f t="shared" si="48"/>
        <v>2.1739130434782608E-2</v>
      </c>
    </row>
    <row r="63" spans="1:26" x14ac:dyDescent="0.2">
      <c r="B63" s="95" t="s">
        <v>196</v>
      </c>
      <c r="C63" s="24">
        <f t="shared" si="25"/>
        <v>160</v>
      </c>
      <c r="D63" s="104">
        <f t="shared" si="26"/>
        <v>0.375</v>
      </c>
      <c r="E63" s="105">
        <f t="shared" si="27"/>
        <v>0.1875</v>
      </c>
      <c r="F63" s="106">
        <f t="shared" si="28"/>
        <v>0.125</v>
      </c>
      <c r="G63" s="106">
        <f t="shared" si="29"/>
        <v>9.375E-2</v>
      </c>
      <c r="H63" s="106">
        <f t="shared" si="30"/>
        <v>7.4999999999999997E-2</v>
      </c>
      <c r="I63" s="106">
        <f t="shared" si="31"/>
        <v>6.25E-2</v>
      </c>
      <c r="J63" s="106">
        <f t="shared" si="32"/>
        <v>5.3571428571428568E-2</v>
      </c>
      <c r="K63" s="106">
        <f t="shared" si="33"/>
        <v>4.6875E-2</v>
      </c>
      <c r="L63" s="106">
        <f t="shared" si="34"/>
        <v>4.1666666666666664E-2</v>
      </c>
      <c r="M63" s="106">
        <f t="shared" si="35"/>
        <v>3.7499999999999999E-2</v>
      </c>
      <c r="N63" s="106">
        <f t="shared" si="36"/>
        <v>3.4090909090909088E-2</v>
      </c>
      <c r="O63" s="106">
        <f t="shared" si="37"/>
        <v>3.125E-2</v>
      </c>
      <c r="P63" s="107">
        <f t="shared" si="38"/>
        <v>2.8846153846153848E-2</v>
      </c>
      <c r="Q63" s="107">
        <f t="shared" si="39"/>
        <v>2.6785714285714284E-2</v>
      </c>
      <c r="R63" s="107">
        <f t="shared" si="40"/>
        <v>2.5000000000000001E-2</v>
      </c>
      <c r="S63" s="107">
        <f t="shared" si="41"/>
        <v>2.34375E-2</v>
      </c>
      <c r="T63" s="107">
        <f t="shared" si="42"/>
        <v>2.2058823529411766E-2</v>
      </c>
      <c r="U63" s="107">
        <f t="shared" si="43"/>
        <v>2.0833333333333332E-2</v>
      </c>
      <c r="V63" s="107">
        <f t="shared" si="44"/>
        <v>1.9736842105263157E-2</v>
      </c>
      <c r="W63" s="107">
        <f t="shared" si="45"/>
        <v>1.8749999999999999E-2</v>
      </c>
      <c r="X63" s="107">
        <f t="shared" si="46"/>
        <v>1.7857142857142856E-2</v>
      </c>
      <c r="Y63" s="107">
        <f t="shared" si="47"/>
        <v>1.7045454545454544E-2</v>
      </c>
      <c r="Z63" s="107">
        <f t="shared" si="48"/>
        <v>1.6304347826086956E-2</v>
      </c>
    </row>
    <row r="64" spans="1:26" x14ac:dyDescent="0.2">
      <c r="B64" s="25" t="s">
        <v>197</v>
      </c>
      <c r="C64" s="24">
        <f t="shared" si="25"/>
        <v>160</v>
      </c>
      <c r="D64" s="108">
        <f t="shared" si="26"/>
        <v>0.375</v>
      </c>
      <c r="E64" s="100">
        <f t="shared" si="27"/>
        <v>0.1875</v>
      </c>
      <c r="F64" s="101">
        <f t="shared" si="28"/>
        <v>0.125</v>
      </c>
      <c r="G64" s="101">
        <f t="shared" si="29"/>
        <v>9.375E-2</v>
      </c>
      <c r="H64" s="101">
        <f t="shared" si="30"/>
        <v>7.4999999999999997E-2</v>
      </c>
      <c r="I64" s="101">
        <f t="shared" si="31"/>
        <v>6.25E-2</v>
      </c>
      <c r="J64" s="101">
        <f t="shared" si="32"/>
        <v>5.3571428571428568E-2</v>
      </c>
      <c r="K64" s="101">
        <f t="shared" si="33"/>
        <v>4.6875E-2</v>
      </c>
      <c r="L64" s="101">
        <f t="shared" si="34"/>
        <v>4.1666666666666664E-2</v>
      </c>
      <c r="M64" s="101">
        <f t="shared" si="35"/>
        <v>3.7499999999999999E-2</v>
      </c>
      <c r="N64" s="101">
        <f t="shared" si="36"/>
        <v>3.4090909090909088E-2</v>
      </c>
      <c r="O64" s="101">
        <f t="shared" si="37"/>
        <v>3.125E-2</v>
      </c>
      <c r="P64" s="102">
        <f t="shared" si="38"/>
        <v>2.8846153846153848E-2</v>
      </c>
      <c r="Q64" s="102">
        <f t="shared" si="39"/>
        <v>2.6785714285714284E-2</v>
      </c>
      <c r="R64" s="102">
        <f t="shared" si="40"/>
        <v>2.5000000000000001E-2</v>
      </c>
      <c r="S64" s="102">
        <f t="shared" si="41"/>
        <v>2.34375E-2</v>
      </c>
      <c r="T64" s="102">
        <f t="shared" si="42"/>
        <v>2.2058823529411766E-2</v>
      </c>
      <c r="U64" s="102">
        <f t="shared" si="43"/>
        <v>2.0833333333333332E-2</v>
      </c>
      <c r="V64" s="102">
        <f t="shared" si="44"/>
        <v>1.9736842105263157E-2</v>
      </c>
      <c r="W64" s="102">
        <f t="shared" si="45"/>
        <v>1.8749999999999999E-2</v>
      </c>
      <c r="X64" s="102">
        <f t="shared" si="46"/>
        <v>1.7857142857142856E-2</v>
      </c>
      <c r="Y64" s="102">
        <f t="shared" si="47"/>
        <v>1.7045454545454544E-2</v>
      </c>
      <c r="Z64" s="102">
        <f t="shared" si="48"/>
        <v>1.6304347826086956E-2</v>
      </c>
    </row>
    <row r="65" spans="2:15" x14ac:dyDescent="0.2">
      <c r="B65" s="161" t="s">
        <v>202</v>
      </c>
      <c r="C65" s="147"/>
      <c r="D65" s="147"/>
      <c r="E65" s="147"/>
      <c r="F65" s="147"/>
      <c r="G65" s="147"/>
      <c r="H65" s="147"/>
      <c r="I65" s="147"/>
      <c r="J65" s="147"/>
      <c r="K65" s="147"/>
      <c r="L65" s="147"/>
      <c r="M65" s="147"/>
      <c r="N65" s="147"/>
      <c r="O65" s="147"/>
    </row>
  </sheetData>
  <mergeCells count="12">
    <mergeCell ref="B65:O65"/>
    <mergeCell ref="A2:E2"/>
    <mergeCell ref="A54:E54"/>
    <mergeCell ref="B52:O52"/>
    <mergeCell ref="A41:E41"/>
    <mergeCell ref="A11:E11"/>
    <mergeCell ref="B15:E15"/>
    <mergeCell ref="A1:E1"/>
    <mergeCell ref="B10:E10"/>
    <mergeCell ref="A17:E17"/>
    <mergeCell ref="A30:E30"/>
    <mergeCell ref="A4:E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85"/>
  <sheetViews>
    <sheetView showGridLines="0" workbookViewId="0">
      <pane xSplit="3" ySplit="6" topLeftCell="K7" activePane="bottomRight" state="frozen"/>
      <selection pane="topRight"/>
      <selection pane="bottomLeft"/>
      <selection pane="bottomRight" activeCell="J8" sqref="J8"/>
    </sheetView>
  </sheetViews>
  <sheetFormatPr baseColWidth="10" defaultColWidth="8.83203125" defaultRowHeight="15" x14ac:dyDescent="0.2"/>
  <cols>
    <col min="1" max="1" width="2" customWidth="1"/>
    <col min="2" max="2" width="10.6640625" bestFit="1" customWidth="1"/>
    <col min="3" max="3" width="15.33203125" bestFit="1" customWidth="1"/>
    <col min="4" max="4" width="10" customWidth="1"/>
    <col min="5" max="5" width="11.33203125" bestFit="1" customWidth="1"/>
    <col min="6" max="7" width="10" customWidth="1"/>
    <col min="8" max="8" width="15.5" bestFit="1" customWidth="1"/>
    <col min="9" max="9" width="10" customWidth="1"/>
    <col min="10" max="10" width="15.83203125" bestFit="1" customWidth="1"/>
    <col min="11" max="15" width="10" customWidth="1"/>
    <col min="16" max="40" width="9" customWidth="1"/>
  </cols>
  <sheetData>
    <row r="1" spans="1:40" ht="32" customHeight="1" x14ac:dyDescent="0.2">
      <c r="A1" s="146" t="s">
        <v>0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  <c r="AI1" s="147"/>
      <c r="AJ1" s="147"/>
      <c r="AK1" s="147"/>
      <c r="AL1" s="147"/>
      <c r="AM1" s="147"/>
      <c r="AN1" s="147"/>
    </row>
    <row r="2" spans="1:40" ht="13" customHeight="1" x14ac:dyDescent="0.2">
      <c r="A2" s="154" t="s">
        <v>1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  <c r="AA2" s="147"/>
      <c r="AB2" s="147"/>
      <c r="AC2" s="147"/>
      <c r="AD2" s="147"/>
      <c r="AE2" s="147"/>
      <c r="AF2" s="147"/>
      <c r="AG2" s="147"/>
      <c r="AH2" s="147"/>
      <c r="AI2" s="147"/>
      <c r="AJ2" s="147"/>
      <c r="AK2" s="147"/>
      <c r="AL2" s="147"/>
      <c r="AM2" s="147"/>
      <c r="AN2" s="147"/>
    </row>
    <row r="3" spans="1:40" ht="4" customHeight="1" x14ac:dyDescent="0.2">
      <c r="A3" s="157"/>
      <c r="B3" s="147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7"/>
      <c r="U3" s="147"/>
      <c r="V3" s="147"/>
      <c r="W3" s="147"/>
      <c r="X3" s="147"/>
      <c r="Y3" s="147"/>
      <c r="Z3" s="147"/>
      <c r="AA3" s="147"/>
      <c r="AB3" s="147"/>
      <c r="AC3" s="147"/>
      <c r="AD3" s="147"/>
      <c r="AE3" s="147"/>
      <c r="AF3" s="147"/>
      <c r="AG3" s="147"/>
      <c r="AH3" s="147"/>
      <c r="AI3" s="147"/>
      <c r="AJ3" s="147"/>
      <c r="AK3" s="147"/>
      <c r="AL3" s="147"/>
      <c r="AM3" s="147"/>
      <c r="AN3" s="147"/>
    </row>
    <row r="4" spans="1:40" ht="28" customHeight="1" x14ac:dyDescent="0.2">
      <c r="B4" s="26" t="s">
        <v>2</v>
      </c>
      <c r="C4" s="27" t="s">
        <v>135</v>
      </c>
      <c r="E4" s="28">
        <f>INDEX(CONFIGURACION!$C$19:$C$27,MATCH(C4,CONFIGURACION!$B$19:$B$27,0))</f>
        <v>2.35</v>
      </c>
      <c r="G4" s="29" t="s">
        <v>4</v>
      </c>
      <c r="H4" s="30">
        <f ca="1">CONFIGURACION!$C$12</f>
        <v>1.1639999999999999</v>
      </c>
      <c r="I4" s="31" t="s">
        <v>5</v>
      </c>
      <c r="J4" s="32">
        <f ca="1">1/CONFIGURACION!$C$12</f>
        <v>0.85910652920962205</v>
      </c>
      <c r="K4" s="6" t="s">
        <v>6</v>
      </c>
    </row>
    <row r="5" spans="1:40" ht="3" customHeight="1" x14ac:dyDescent="0.2">
      <c r="A5" s="155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7"/>
      <c r="X5" s="147"/>
      <c r="Y5" s="147"/>
      <c r="Z5" s="147"/>
      <c r="AA5" s="147"/>
      <c r="AB5" s="147"/>
      <c r="AC5" s="147"/>
      <c r="AD5" s="147"/>
      <c r="AE5" s="147"/>
      <c r="AF5" s="147"/>
      <c r="AG5" s="147"/>
      <c r="AH5" s="147"/>
      <c r="AI5" s="147"/>
      <c r="AJ5" s="147"/>
      <c r="AK5" s="147"/>
      <c r="AL5" s="147"/>
      <c r="AM5" s="147"/>
      <c r="AN5" s="147"/>
    </row>
    <row r="6" spans="1:40" ht="32" customHeight="1" x14ac:dyDescent="0.2">
      <c r="B6" s="33" t="s">
        <v>7</v>
      </c>
      <c r="C6" s="33" t="s">
        <v>8</v>
      </c>
      <c r="D6" s="33" t="s">
        <v>9</v>
      </c>
      <c r="E6" s="34" t="s">
        <v>10</v>
      </c>
      <c r="F6" s="34" t="s">
        <v>11</v>
      </c>
      <c r="G6" s="34" t="s">
        <v>12</v>
      </c>
      <c r="H6" s="34" t="s">
        <v>13</v>
      </c>
      <c r="I6" s="34" t="s">
        <v>14</v>
      </c>
      <c r="J6" s="34" t="s">
        <v>15</v>
      </c>
      <c r="K6" s="34" t="s">
        <v>16</v>
      </c>
      <c r="L6" s="34" t="s">
        <v>17</v>
      </c>
      <c r="M6" s="35" t="s">
        <v>18</v>
      </c>
      <c r="N6" s="35" t="s">
        <v>19</v>
      </c>
      <c r="O6" s="35" t="s">
        <v>20</v>
      </c>
      <c r="P6" s="109" t="s">
        <v>21</v>
      </c>
      <c r="Q6" s="110" t="s">
        <v>22</v>
      </c>
      <c r="R6" s="111" t="s">
        <v>23</v>
      </c>
      <c r="S6" s="112" t="s">
        <v>24</v>
      </c>
      <c r="T6" s="113" t="s">
        <v>25</v>
      </c>
      <c r="U6" s="114" t="s">
        <v>26</v>
      </c>
      <c r="V6" s="115" t="s">
        <v>27</v>
      </c>
      <c r="W6" s="116" t="s">
        <v>28</v>
      </c>
      <c r="X6" s="117" t="s">
        <v>29</v>
      </c>
      <c r="Y6" s="118" t="s">
        <v>30</v>
      </c>
      <c r="Z6" s="119" t="s">
        <v>31</v>
      </c>
      <c r="AA6" s="120" t="s">
        <v>32</v>
      </c>
      <c r="AB6" s="121" t="s">
        <v>33</v>
      </c>
      <c r="AC6" s="122" t="s">
        <v>34</v>
      </c>
      <c r="AD6" s="118" t="s">
        <v>35</v>
      </c>
      <c r="AE6" s="123" t="s">
        <v>36</v>
      </c>
      <c r="AF6" s="124" t="s">
        <v>37</v>
      </c>
      <c r="AG6" s="125" t="s">
        <v>38</v>
      </c>
      <c r="AH6" s="126" t="s">
        <v>39</v>
      </c>
      <c r="AI6" s="127" t="s">
        <v>40</v>
      </c>
      <c r="AJ6" s="128" t="s">
        <v>41</v>
      </c>
      <c r="AK6" s="129" t="s">
        <v>42</v>
      </c>
      <c r="AL6" s="130" t="s">
        <v>43</v>
      </c>
      <c r="AM6" s="90"/>
      <c r="AN6" s="90"/>
    </row>
    <row r="7" spans="1:40" ht="18" customHeight="1" x14ac:dyDescent="0.2">
      <c r="B7" s="44" t="s">
        <v>44</v>
      </c>
      <c r="C7" s="45" t="s">
        <v>45</v>
      </c>
      <c r="D7" s="143">
        <v>2</v>
      </c>
      <c r="E7" s="46">
        <f>IFERROR(LOOKUP(9.99E+307,D$32:D$83),19.19)</f>
        <v>7.95</v>
      </c>
      <c r="F7" s="46">
        <v>0.03</v>
      </c>
      <c r="G7" s="48">
        <f t="shared" ref="G7:G16" si="0">E7+F7</f>
        <v>7.98</v>
      </c>
      <c r="H7" s="48">
        <f>G7/(1-CONFIGURACION!$C$6)-G7</f>
        <v>8.0606060606060126E-2</v>
      </c>
      <c r="I7" s="48">
        <f t="shared" ref="I7:I25" si="1">G7+H7</f>
        <v>8.0606060606060606</v>
      </c>
      <c r="J7" s="89">
        <v>0.1</v>
      </c>
      <c r="K7" s="48">
        <f t="shared" ref="K7:K25" si="2">I7/(1-J7)-I7</f>
        <v>0.89562289562289621</v>
      </c>
      <c r="L7" s="93">
        <f t="shared" ref="L7:L25" si="3">I7+K7</f>
        <v>8.9562289562289568</v>
      </c>
      <c r="M7" s="50">
        <f>E4*(D7+CONFIGURACION!$D$32)</f>
        <v>6.0791562500000005</v>
      </c>
      <c r="N7" s="49">
        <f t="shared" ref="N7:N25" si="4">L7+M7</f>
        <v>15.035385206228957</v>
      </c>
      <c r="O7" s="51">
        <f t="shared" ref="O7:O25" si="5">N7/D7</f>
        <v>7.5176926031144786</v>
      </c>
      <c r="P7" s="131">
        <f>N7+CONFIGURACION!$D$43+CONFIGURACION!$D$57</f>
        <v>17.160385206228959</v>
      </c>
      <c r="Q7" s="132">
        <f>N7+CONFIGURACION!$E$43+CONFIGURACION!$E$57</f>
        <v>16.097885206228959</v>
      </c>
      <c r="R7" s="141">
        <f>N7+CONFIGURACION!$F$43-CONFIGURACION!$F$57</f>
        <v>15.493718539562291</v>
      </c>
      <c r="S7" s="142">
        <f>N7+CONFIGURACION!$G$43-CONFIGURACION!$G$57</f>
        <v>15.379135206228957</v>
      </c>
      <c r="T7" s="132">
        <f>N7+CONFIGURACION!$H$43-CONFIGURACION!$H$57</f>
        <v>15.310385206228958</v>
      </c>
      <c r="U7" s="132">
        <f>N7+CONFIGURACION!$I$43-CONFIGURACION!$I$57</f>
        <v>15.264551872895623</v>
      </c>
      <c r="V7" s="132">
        <f>N7+CONFIGURACION!$J$43-CONFIGURACION!$J$57</f>
        <v>15.231813777657528</v>
      </c>
      <c r="W7" s="132">
        <f>N7+CONFIGURACION!$K$43-CONFIGURACION!$K$57</f>
        <v>15.207260206228957</v>
      </c>
      <c r="X7" s="132">
        <f>N7+CONFIGURACION!$L$43-CONFIGURACION!$L$57</f>
        <v>15.188162984006736</v>
      </c>
      <c r="Y7" s="132">
        <f>N7+CONFIGURACION!$M$43-CONFIGURACION!$M$57</f>
        <v>15.172885206228958</v>
      </c>
      <c r="Z7" s="132">
        <f>N7+CONFIGURACION!$N$43-CONFIGURACION!$N$57</f>
        <v>15.160385206228957</v>
      </c>
      <c r="AA7" s="132">
        <f>N7+CONFIGURACION!$O$43-CONFIGURACION!$O$57</f>
        <v>15.149968539562291</v>
      </c>
      <c r="AB7" s="133">
        <f>N7+CONFIGURACION!$P$43-CONFIGURACION!$P$57</f>
        <v>15.141154436998189</v>
      </c>
      <c r="AC7" s="134">
        <f>N7+CONFIGURACION!$Q$43-CONFIGURACION!$Q$57</f>
        <v>15.133599491943244</v>
      </c>
      <c r="AD7" s="135">
        <f>N7+CONFIGURACION!$R$43-CONFIGURACION!$R$57</f>
        <v>15.127051872895624</v>
      </c>
      <c r="AE7" s="135">
        <f>N7+CONFIGURACION!$S$43-CONFIGURACION!$S$57</f>
        <v>15.121322706228957</v>
      </c>
      <c r="AF7" s="135">
        <f>N7+CONFIGURACION!$T$43-CONFIGURACION!$T$57</f>
        <v>15.116267559170135</v>
      </c>
      <c r="AG7" s="135">
        <f>N7+CONFIGURACION!$U$43-CONFIGURACION!$U$57</f>
        <v>15.111774095117845</v>
      </c>
      <c r="AH7" s="135">
        <f>N7+CONFIGURACION!$V$43-CONFIGURACION!$V$57</f>
        <v>15.107753627281589</v>
      </c>
      <c r="AI7" s="135">
        <f>N7+CONFIGURACION!$W$43+CONFIGURACION!$W$57</f>
        <v>15.141635206228958</v>
      </c>
      <c r="AJ7" s="135">
        <f>N7+CONFIGURACION!$X$43+CONFIGURACION!$X$57</f>
        <v>15.136575682419434</v>
      </c>
      <c r="AK7" s="135">
        <f>N7+CONFIGURACION!$Y$43+CONFIGURACION!$Y$57</f>
        <v>15.131976115319867</v>
      </c>
      <c r="AL7" s="135">
        <f>N7+CONFIGURACION!$Z$43+CONFIGURACION!$Z$57</f>
        <v>15.127776510576783</v>
      </c>
      <c r="AM7" s="92"/>
      <c r="AN7" s="92"/>
    </row>
    <row r="8" spans="1:40" ht="18" customHeight="1" x14ac:dyDescent="0.2">
      <c r="B8" s="52" t="s">
        <v>46</v>
      </c>
      <c r="C8" s="53" t="s">
        <v>47</v>
      </c>
      <c r="D8" s="143">
        <v>2.5</v>
      </c>
      <c r="E8" s="54">
        <f>IFERROR(LOOKUP(9.99E+307,E$32:E$83),19.19)</f>
        <v>6.5</v>
      </c>
      <c r="F8" s="54">
        <v>0.03</v>
      </c>
      <c r="G8" s="55">
        <f t="shared" si="0"/>
        <v>6.53</v>
      </c>
      <c r="H8" s="55">
        <f>G8/(1-CONFIGURACION!$C$6)-G8</f>
        <v>6.5959595959595774E-2</v>
      </c>
      <c r="I8" s="55">
        <f t="shared" si="1"/>
        <v>6.595959595959596</v>
      </c>
      <c r="J8" s="89">
        <v>0.1</v>
      </c>
      <c r="K8" s="55">
        <f t="shared" si="2"/>
        <v>0.73288439955106632</v>
      </c>
      <c r="L8" s="93">
        <f t="shared" si="3"/>
        <v>7.3288439955106623</v>
      </c>
      <c r="M8" s="57">
        <f>E4*(D8+CONFIGURACION!$D$34)</f>
        <v>7.2541562500000003</v>
      </c>
      <c r="N8" s="56">
        <f t="shared" si="4"/>
        <v>14.583000245510663</v>
      </c>
      <c r="O8" s="58">
        <f t="shared" si="5"/>
        <v>5.8332000982042649</v>
      </c>
      <c r="P8" s="136">
        <f>N8+CONFIGURACION!$D$45+CONFIGURACION!$D$59</f>
        <v>16.708000245510661</v>
      </c>
      <c r="Q8" s="137">
        <f>N8+CONFIGURACION!$E$45+CONFIGURACION!$E$59</f>
        <v>15.645500245510663</v>
      </c>
      <c r="R8" s="141">
        <f>N8+CONFIGURACION!$F$45-CONFIGURACION!$F$59</f>
        <v>15.041333578843997</v>
      </c>
      <c r="S8" s="142">
        <f>N8+CONFIGURACION!$G$45-CONFIGURACION!$G$59</f>
        <v>14.926750245510663</v>
      </c>
      <c r="T8" s="137">
        <f>N8+CONFIGURACION!$H$45-CONFIGURACION!$H$59</f>
        <v>14.858000245510663</v>
      </c>
      <c r="U8" s="137">
        <f>N8+CONFIGURACION!$I$45-CONFIGURACION!$I$59</f>
        <v>14.812166912177329</v>
      </c>
      <c r="V8" s="137">
        <f>N8+CONFIGURACION!$J$45-CONFIGURACION!$J$59</f>
        <v>14.779428816939234</v>
      </c>
      <c r="W8" s="137">
        <f>N8+CONFIGURACION!$K$45-CONFIGURACION!$K$59</f>
        <v>14.754875245510663</v>
      </c>
      <c r="X8" s="137">
        <f>N8+CONFIGURACION!$L$45-CONFIGURACION!$L$59</f>
        <v>14.735778023288441</v>
      </c>
      <c r="Y8" s="137">
        <f>N8+CONFIGURACION!$M$45-CONFIGURACION!$M$59</f>
        <v>14.720500245510664</v>
      </c>
      <c r="Z8" s="137">
        <f>N8+CONFIGURACION!$N$45-CONFIGURACION!$N$59</f>
        <v>14.708000245510663</v>
      </c>
      <c r="AA8" s="137">
        <f>N8+CONFIGURACION!$O$45-CONFIGURACION!$O$59</f>
        <v>14.697583578843997</v>
      </c>
      <c r="AB8" s="138">
        <f>N8+CONFIGURACION!$P$45-CONFIGURACION!$P$59</f>
        <v>14.688769476279894</v>
      </c>
      <c r="AC8" s="139">
        <f>N8+CONFIGURACION!$Q$45-CONFIGURACION!$Q$59</f>
        <v>14.681214531224949</v>
      </c>
      <c r="AD8" s="140">
        <f>N8+CONFIGURACION!$R$45-CONFIGURACION!$R$59</f>
        <v>14.674666912177329</v>
      </c>
      <c r="AE8" s="140">
        <f>N8+CONFIGURACION!$S$45-CONFIGURACION!$S$59</f>
        <v>14.668937745510663</v>
      </c>
      <c r="AF8" s="140">
        <f>N8+CONFIGURACION!$T$45-CONFIGURACION!$T$59</f>
        <v>14.66388259845184</v>
      </c>
      <c r="AG8" s="140">
        <f>N8+CONFIGURACION!$U$45-CONFIGURACION!$U$59</f>
        <v>14.65938913439955</v>
      </c>
      <c r="AH8" s="140">
        <f>N8+CONFIGURACION!$V$45-CONFIGURACION!$V$59</f>
        <v>14.655368666563295</v>
      </c>
      <c r="AI8" s="140">
        <f>N8+CONFIGURACION!$W$45+CONFIGURACION!$W$59</f>
        <v>14.689250245510664</v>
      </c>
      <c r="AJ8" s="140">
        <f>N8+CONFIGURACION!$X$45+CONFIGURACION!$X$59</f>
        <v>14.684190721701139</v>
      </c>
      <c r="AK8" s="140">
        <f>N8+CONFIGURACION!$Y$45+CONFIGURACION!$Y$59</f>
        <v>14.679591154601573</v>
      </c>
      <c r="AL8" s="140">
        <f>N8+CONFIGURACION!$Z$45+CONFIGURACION!$Z$59</f>
        <v>14.675391549858489</v>
      </c>
      <c r="AM8" s="92"/>
      <c r="AN8" s="92"/>
    </row>
    <row r="9" spans="1:40" ht="18" customHeight="1" x14ac:dyDescent="0.2">
      <c r="B9" s="44" t="s">
        <v>48</v>
      </c>
      <c r="C9" s="45" t="s">
        <v>49</v>
      </c>
      <c r="D9" s="143">
        <v>2.5</v>
      </c>
      <c r="E9" s="46">
        <f>IFERROR(LOOKUP(9.99E+307,F$32:F$83),19.19)</f>
        <v>13.5</v>
      </c>
      <c r="F9" s="46">
        <f>CONFIGURACION!$C$5/D9</f>
        <v>0.4</v>
      </c>
      <c r="G9" s="48">
        <f t="shared" si="0"/>
        <v>13.9</v>
      </c>
      <c r="H9" s="48">
        <f>G9/(1-CONFIGURACION!$C$6)-G9</f>
        <v>0.1404040404040412</v>
      </c>
      <c r="I9" s="48">
        <f t="shared" si="1"/>
        <v>14.040404040404042</v>
      </c>
      <c r="J9" s="89">
        <v>0.08</v>
      </c>
      <c r="K9" s="48">
        <f t="shared" si="2"/>
        <v>1.220904699165569</v>
      </c>
      <c r="L9" s="93">
        <f t="shared" si="3"/>
        <v>15.261308739569611</v>
      </c>
      <c r="M9" s="50">
        <f>E4*(D9+CONFIGURACION!$D$33)</f>
        <v>7.2053611111111113</v>
      </c>
      <c r="N9" s="49">
        <f t="shared" si="4"/>
        <v>22.466669850680724</v>
      </c>
      <c r="O9" s="51">
        <f t="shared" si="5"/>
        <v>8.9866679402722891</v>
      </c>
      <c r="P9" s="131">
        <f>N9+CONFIGURACION!$D$44+CONFIGURACION!$D$58</f>
        <v>24.355558739569613</v>
      </c>
      <c r="Q9" s="132">
        <f>N9+CONFIGURACION!$E$44+CONFIGURACION!$E$58</f>
        <v>23.41111429512517</v>
      </c>
      <c r="R9" s="141">
        <f>N9+CONFIGURACION!$F$44-CONFIGURACION!$F$58</f>
        <v>22.874077258088132</v>
      </c>
      <c r="S9" s="142">
        <f>N9+CONFIGURACION!$G$44-CONFIGURACION!$G$58</f>
        <v>22.772225406236281</v>
      </c>
      <c r="T9" s="132">
        <f>N9+CONFIGURACION!$H$44-CONFIGURACION!$H$58</f>
        <v>22.711114295125167</v>
      </c>
      <c r="U9" s="132">
        <f>N9+CONFIGURACION!$I$44-CONFIGURACION!$I$58</f>
        <v>22.670373554384426</v>
      </c>
      <c r="V9" s="132">
        <f>N9+CONFIGURACION!$J$44-CONFIGURACION!$J$58</f>
        <v>22.641273025283898</v>
      </c>
      <c r="W9" s="132">
        <f>N9+CONFIGURACION!$K$44-CONFIGURACION!$K$58</f>
        <v>22.619447628458499</v>
      </c>
      <c r="X9" s="132">
        <f>N9+CONFIGURACION!$L$44-CONFIGURACION!$L$58</f>
        <v>22.602472319816524</v>
      </c>
      <c r="Y9" s="132">
        <f>N9+CONFIGURACION!$M$44-CONFIGURACION!$M$58</f>
        <v>22.588892072902944</v>
      </c>
      <c r="Z9" s="132">
        <f>N9+CONFIGURACION!$N$44-CONFIGURACION!$N$58</f>
        <v>22.577780961791834</v>
      </c>
      <c r="AA9" s="132">
        <f>N9+CONFIGURACION!$O$44-CONFIGURACION!$O$58</f>
        <v>22.568521702532575</v>
      </c>
      <c r="AB9" s="133">
        <f>N9+CONFIGURACION!$P$44-CONFIGURACION!$P$58</f>
        <v>22.560686944697817</v>
      </c>
      <c r="AC9" s="134">
        <f>N9+CONFIGURACION!$Q$44-CONFIGURACION!$Q$58</f>
        <v>22.553971437982309</v>
      </c>
      <c r="AD9" s="135">
        <f>N9+CONFIGURACION!$R$44-CONFIGURACION!$R$58</f>
        <v>22.548151332162206</v>
      </c>
      <c r="AE9" s="135">
        <f>N9+CONFIGURACION!$S$44-CONFIGURACION!$S$58</f>
        <v>22.543058739569613</v>
      </c>
      <c r="AF9" s="135">
        <f>N9+CONFIGURACION!$T$44-CONFIGURACION!$T$58</f>
        <v>22.538565275517325</v>
      </c>
      <c r="AG9" s="135">
        <f>N9+CONFIGURACION!$U$44-CONFIGURACION!$U$58</f>
        <v>22.534571085248626</v>
      </c>
      <c r="AH9" s="135">
        <f>N9+CONFIGURACION!$V$44-CONFIGURACION!$V$58</f>
        <v>22.530997336060839</v>
      </c>
      <c r="AI9" s="135">
        <f>N9+CONFIGURACION!$W$44+CONFIGURACION!$W$58</f>
        <v>22.561114295125169</v>
      </c>
      <c r="AJ9" s="135">
        <f>N9+CONFIGURACION!$X$44+CONFIGURACION!$X$58</f>
        <v>22.556616940627812</v>
      </c>
      <c r="AK9" s="135">
        <f>N9+CONFIGURACION!$Y$44+CONFIGURACION!$Y$58</f>
        <v>22.552528436539308</v>
      </c>
      <c r="AL9" s="135">
        <f>N9+CONFIGURACION!$Z$44+CONFIGURACION!$Z$58</f>
        <v>22.548795454545456</v>
      </c>
      <c r="AM9" s="92"/>
      <c r="AN9" s="92"/>
    </row>
    <row r="10" spans="1:40" ht="18" customHeight="1" x14ac:dyDescent="0.2">
      <c r="B10" s="52" t="s">
        <v>50</v>
      </c>
      <c r="C10" s="53" t="s">
        <v>51</v>
      </c>
      <c r="D10" s="143">
        <v>4.5</v>
      </c>
      <c r="E10" s="54">
        <f>IFERROR(LOOKUP(9.99E+307,G$32:G$83),19.19)</f>
        <v>19.190000000000001</v>
      </c>
      <c r="F10" s="54">
        <f>CONFIGURACION!$C$5/D10</f>
        <v>0.22222222222222221</v>
      </c>
      <c r="G10" s="55">
        <f t="shared" si="0"/>
        <v>19.412222222222223</v>
      </c>
      <c r="H10" s="55">
        <f>G10/(1-CONFIGURACION!$C$6)-G10</f>
        <v>0.19608305274972082</v>
      </c>
      <c r="I10" s="55">
        <f t="shared" si="1"/>
        <v>19.608305274971944</v>
      </c>
      <c r="J10" s="89">
        <v>5.5E-2</v>
      </c>
      <c r="K10" s="55">
        <f t="shared" si="2"/>
        <v>1.1412241165327615</v>
      </c>
      <c r="L10" s="93">
        <f t="shared" si="3"/>
        <v>20.749529391504705</v>
      </c>
      <c r="M10" s="57">
        <f>E4*(D10+CONFIGURACION!$D$37)</f>
        <v>12.100541666666668</v>
      </c>
      <c r="N10" s="56">
        <f t="shared" si="4"/>
        <v>32.850071058171373</v>
      </c>
      <c r="O10" s="58">
        <f t="shared" si="5"/>
        <v>7.3000157907047498</v>
      </c>
      <c r="P10" s="136">
        <f>N10+CONFIGURACION!$D$48+CONFIGURACION!$D$62</f>
        <v>35.683404391504709</v>
      </c>
      <c r="Q10" s="137">
        <f>N10+CONFIGURACION!$E$48+CONFIGURACION!$E$62</f>
        <v>34.266737724838038</v>
      </c>
      <c r="R10" s="141">
        <f>N10+CONFIGURACION!$F$48-CONFIGURACION!$F$62</f>
        <v>33.461182169282488</v>
      </c>
      <c r="S10" s="142">
        <f>N10+CONFIGURACION!$G$48-CONFIGURACION!$G$62</f>
        <v>33.308404391504709</v>
      </c>
      <c r="T10" s="137">
        <f>N10+CONFIGURACION!$H$48-CONFIGURACION!$H$62</f>
        <v>33.21673772483804</v>
      </c>
      <c r="U10" s="137">
        <f>N10+CONFIGURACION!$I$48-CONFIGURACION!$I$62</f>
        <v>33.155626613726923</v>
      </c>
      <c r="V10" s="137">
        <f>N10+CONFIGURACION!$J$48-CONFIGURACION!$J$62</f>
        <v>33.11197582007614</v>
      </c>
      <c r="W10" s="137">
        <f>N10+CONFIGURACION!$K$48-CONFIGURACION!$K$62</f>
        <v>33.079237724838038</v>
      </c>
      <c r="X10" s="137">
        <f>N10+CONFIGURACION!$L$48-CONFIGURACION!$L$62</f>
        <v>33.053774761875076</v>
      </c>
      <c r="Y10" s="137">
        <f>N10+CONFIGURACION!$M$48-CONFIGURACION!$M$62</f>
        <v>33.03340439150471</v>
      </c>
      <c r="Z10" s="137">
        <f>N10+CONFIGURACION!$N$48-CONFIGURACION!$N$62</f>
        <v>33.016737724838038</v>
      </c>
      <c r="AA10" s="137">
        <f>N10+CONFIGURACION!$O$48-CONFIGURACION!$O$62</f>
        <v>33.002848835949152</v>
      </c>
      <c r="AB10" s="138">
        <f>N10+CONFIGURACION!$P$48-CONFIGURACION!$P$62</f>
        <v>32.991096699197016</v>
      </c>
      <c r="AC10" s="139">
        <f>N10+CONFIGURACION!$Q$48-CONFIGURACION!$Q$62</f>
        <v>32.981023439123753</v>
      </c>
      <c r="AD10" s="140">
        <f>N10+CONFIGURACION!$R$48-CONFIGURACION!$R$62</f>
        <v>32.9722932803936</v>
      </c>
      <c r="AE10" s="140">
        <f>N10+CONFIGURACION!$S$48-CONFIGURACION!$S$62</f>
        <v>32.964654391504709</v>
      </c>
      <c r="AF10" s="140">
        <f>N10+CONFIGURACION!$T$48-CONFIGURACION!$T$62</f>
        <v>32.957914195426277</v>
      </c>
      <c r="AG10" s="140">
        <f>N10+CONFIGURACION!$U$48-CONFIGURACION!$U$62</f>
        <v>32.951922910023221</v>
      </c>
      <c r="AH10" s="140">
        <f>N10+CONFIGURACION!$V$48-CONFIGURACION!$V$62</f>
        <v>32.946562286241551</v>
      </c>
      <c r="AI10" s="140">
        <f>N10+CONFIGURACION!$W$48+CONFIGURACION!$W$62</f>
        <v>32.991737724838039</v>
      </c>
      <c r="AJ10" s="140">
        <f>N10+CONFIGURACION!$X$48+CONFIGURACION!$X$62</f>
        <v>32.984991693092013</v>
      </c>
      <c r="AK10" s="140">
        <f>N10+CONFIGURACION!$Y$48+CONFIGURACION!$Y$62</f>
        <v>32.978858936959256</v>
      </c>
      <c r="AL10" s="140">
        <f>N10+CONFIGURACION!$Z$48+CONFIGURACION!$Z$62</f>
        <v>32.973259463968475</v>
      </c>
      <c r="AM10" s="92"/>
      <c r="AN10" s="92"/>
    </row>
    <row r="11" spans="1:40" ht="18" customHeight="1" x14ac:dyDescent="0.2">
      <c r="B11" s="44" t="s">
        <v>52</v>
      </c>
      <c r="C11" s="45" t="s">
        <v>53</v>
      </c>
      <c r="D11" s="143">
        <v>4.5</v>
      </c>
      <c r="E11" s="46">
        <f>IFERROR(LOOKUP(9.99E+307,H$32:H$83),13.6)</f>
        <v>13.6</v>
      </c>
      <c r="F11" s="46">
        <f>CONFIGURACION!$C$5/D11</f>
        <v>0.22222222222222221</v>
      </c>
      <c r="G11" s="48">
        <f t="shared" si="0"/>
        <v>13.822222222222221</v>
      </c>
      <c r="H11" s="48">
        <f>G11/(1-CONFIGURACION!$C$6)-G11</f>
        <v>0.1396184062850736</v>
      </c>
      <c r="I11" s="48">
        <f t="shared" si="1"/>
        <v>13.961840628507295</v>
      </c>
      <c r="J11" s="89">
        <v>5.5E-2</v>
      </c>
      <c r="K11" s="48">
        <f t="shared" si="2"/>
        <v>0.81259389901365253</v>
      </c>
      <c r="L11" s="93">
        <f t="shared" si="3"/>
        <v>14.774434527520947</v>
      </c>
      <c r="M11" s="50">
        <f>E4*(D11+CONFIGURACION!$D$37)</f>
        <v>12.100541666666668</v>
      </c>
      <c r="N11" s="49">
        <f t="shared" si="4"/>
        <v>26.874976194187617</v>
      </c>
      <c r="O11" s="51">
        <f t="shared" si="5"/>
        <v>5.9722169320416931</v>
      </c>
      <c r="P11" s="131">
        <f>N11+CONFIGURACION!$D$48+CONFIGURACION!$D$62</f>
        <v>29.708309527520949</v>
      </c>
      <c r="Q11" s="132">
        <f>N11+CONFIGURACION!$E$48+CONFIGURACION!$E$62</f>
        <v>28.291642860854285</v>
      </c>
      <c r="R11" s="141">
        <f>N11+CONFIGURACION!$F$48-CONFIGURACION!$F$62</f>
        <v>27.486087305298728</v>
      </c>
      <c r="S11" s="142">
        <f>N11+CONFIGURACION!$G$48-CONFIGURACION!$G$62</f>
        <v>27.333309527520949</v>
      </c>
      <c r="T11" s="132">
        <f>N11+CONFIGURACION!$H$48-CONFIGURACION!$H$62</f>
        <v>27.241642860854281</v>
      </c>
      <c r="U11" s="132">
        <f>N11+CONFIGURACION!$I$48-CONFIGURACION!$I$62</f>
        <v>27.180531749743174</v>
      </c>
      <c r="V11" s="132">
        <f>N11+CONFIGURACION!$J$48-CONFIGURACION!$J$62</f>
        <v>27.136880956092376</v>
      </c>
      <c r="W11" s="132">
        <f>N11+CONFIGURACION!$K$48-CONFIGURACION!$K$62</f>
        <v>27.104142860854285</v>
      </c>
      <c r="X11" s="132">
        <f>N11+CONFIGURACION!$L$48-CONFIGURACION!$L$62</f>
        <v>27.07867989789132</v>
      </c>
      <c r="Y11" s="132">
        <f>N11+CONFIGURACION!$M$48-CONFIGURACION!$M$62</f>
        <v>27.058309527520951</v>
      </c>
      <c r="Z11" s="132">
        <f>N11+CONFIGURACION!$N$48-CONFIGURACION!$N$62</f>
        <v>27.041642860854282</v>
      </c>
      <c r="AA11" s="132">
        <f>N11+CONFIGURACION!$O$48-CONFIGURACION!$O$62</f>
        <v>27.027753971965392</v>
      </c>
      <c r="AB11" s="133">
        <f>N11+CONFIGURACION!$P$48-CONFIGURACION!$P$62</f>
        <v>27.016001835213256</v>
      </c>
      <c r="AC11" s="134">
        <f>N11+CONFIGURACION!$Q$48-CONFIGURACION!$Q$62</f>
        <v>27.00592857514</v>
      </c>
      <c r="AD11" s="135">
        <f>N11+CONFIGURACION!$R$48-CONFIGURACION!$R$62</f>
        <v>26.997198416409837</v>
      </c>
      <c r="AE11" s="135">
        <f>N11+CONFIGURACION!$S$48-CONFIGURACION!$S$62</f>
        <v>26.989559527520949</v>
      </c>
      <c r="AF11" s="135">
        <f>N11+CONFIGURACION!$T$48-CONFIGURACION!$T$62</f>
        <v>26.982819331442517</v>
      </c>
      <c r="AG11" s="135">
        <f>N11+CONFIGURACION!$U$48-CONFIGURACION!$U$62</f>
        <v>26.976828046039468</v>
      </c>
      <c r="AH11" s="135">
        <f>N11+CONFIGURACION!$V$48-CONFIGURACION!$V$62</f>
        <v>26.971467422257792</v>
      </c>
      <c r="AI11" s="135">
        <f>N11+CONFIGURACION!$W$48+CONFIGURACION!$W$62</f>
        <v>27.016642860854283</v>
      </c>
      <c r="AJ11" s="135">
        <f>N11+CONFIGURACION!$X$48+CONFIGURACION!$X$62</f>
        <v>27.009896829108254</v>
      </c>
      <c r="AK11" s="135">
        <f>N11+CONFIGURACION!$Y$48+CONFIGURACION!$Y$62</f>
        <v>27.003764072975496</v>
      </c>
      <c r="AL11" s="135">
        <f>N11+CONFIGURACION!$Z$48+CONFIGURACION!$Z$62</f>
        <v>26.998164599984719</v>
      </c>
      <c r="AM11" s="92"/>
      <c r="AN11" s="92"/>
    </row>
    <row r="12" spans="1:40" ht="18" customHeight="1" x14ac:dyDescent="0.2">
      <c r="B12" s="52" t="s">
        <v>54</v>
      </c>
      <c r="C12" s="53" t="s">
        <v>55</v>
      </c>
      <c r="D12" s="143">
        <v>2.5</v>
      </c>
      <c r="E12" s="54">
        <f>IFERROR(LOOKUP(9.99E+307,I$32:I$83),13.6)</f>
        <v>7</v>
      </c>
      <c r="F12" s="54"/>
      <c r="G12" s="55">
        <f t="shared" si="0"/>
        <v>7</v>
      </c>
      <c r="H12" s="55">
        <f>G12/(1-CONFIGURACION!$C$6)-G12</f>
        <v>7.070707070707094E-2</v>
      </c>
      <c r="I12" s="55">
        <f t="shared" si="1"/>
        <v>7.0707070707070709</v>
      </c>
      <c r="J12" s="89">
        <v>8.5000000000000006E-2</v>
      </c>
      <c r="K12" s="55">
        <f t="shared" si="2"/>
        <v>0.65684164044819759</v>
      </c>
      <c r="L12" s="93">
        <f t="shared" si="3"/>
        <v>7.7275487111552685</v>
      </c>
      <c r="M12" s="57">
        <f>E4*(D12+CONFIGURACION!$D$34)</f>
        <v>7.2541562500000003</v>
      </c>
      <c r="N12" s="56">
        <f t="shared" si="4"/>
        <v>14.98170496115527</v>
      </c>
      <c r="O12" s="58">
        <f t="shared" si="5"/>
        <v>5.9926819844621075</v>
      </c>
      <c r="P12" s="136">
        <f>N12+CONFIGURACION!$D$45+CONFIGURACION!$D$59</f>
        <v>17.10670496115527</v>
      </c>
      <c r="Q12" s="137">
        <f>N12+CONFIGURACION!$E$45+CONFIGURACION!$E$59</f>
        <v>16.04420496115527</v>
      </c>
      <c r="R12" s="141">
        <f>N12+CONFIGURACION!$F$45-CONFIGURACION!$F$59</f>
        <v>15.440038294488604</v>
      </c>
      <c r="S12" s="142">
        <f>N12+CONFIGURACION!$G$45-CONFIGURACION!$G$59</f>
        <v>15.32545496115527</v>
      </c>
      <c r="T12" s="137">
        <f>N12+CONFIGURACION!$H$45-CONFIGURACION!$H$59</f>
        <v>15.25670496115527</v>
      </c>
      <c r="U12" s="137">
        <f>N12+CONFIGURACION!$I$45-CONFIGURACION!$I$59</f>
        <v>15.210871627821936</v>
      </c>
      <c r="V12" s="137">
        <f>N12+CONFIGURACION!$J$45-CONFIGURACION!$J$59</f>
        <v>15.178133532583841</v>
      </c>
      <c r="W12" s="137">
        <f>N12+CONFIGURACION!$K$45-CONFIGURACION!$K$59</f>
        <v>15.15357996115527</v>
      </c>
      <c r="X12" s="137">
        <f>N12+CONFIGURACION!$L$45-CONFIGURACION!$L$59</f>
        <v>15.134482738933048</v>
      </c>
      <c r="Y12" s="137">
        <f>N12+CONFIGURACION!$M$45-CONFIGURACION!$M$59</f>
        <v>15.119204961155271</v>
      </c>
      <c r="Z12" s="137">
        <f>N12+CONFIGURACION!$N$45-CONFIGURACION!$N$59</f>
        <v>15.10670496115527</v>
      </c>
      <c r="AA12" s="137">
        <f>N12+CONFIGURACION!$O$45-CONFIGURACION!$O$59</f>
        <v>15.096288294488604</v>
      </c>
      <c r="AB12" s="138">
        <f>N12+CONFIGURACION!$P$45-CONFIGURACION!$P$59</f>
        <v>15.087474191924501</v>
      </c>
      <c r="AC12" s="139">
        <f>N12+CONFIGURACION!$Q$45-CONFIGURACION!$Q$59</f>
        <v>15.079919246869556</v>
      </c>
      <c r="AD12" s="140">
        <f>N12+CONFIGURACION!$R$45-CONFIGURACION!$R$59</f>
        <v>15.073371627821937</v>
      </c>
      <c r="AE12" s="140">
        <f>N12+CONFIGURACION!$S$45-CONFIGURACION!$S$59</f>
        <v>15.06764246115527</v>
      </c>
      <c r="AF12" s="140">
        <f>N12+CONFIGURACION!$T$45-CONFIGURACION!$T$59</f>
        <v>15.062587314096447</v>
      </c>
      <c r="AG12" s="140">
        <f>N12+CONFIGURACION!$U$45-CONFIGURACION!$U$59</f>
        <v>15.058093850044157</v>
      </c>
      <c r="AH12" s="140">
        <f>N12+CONFIGURACION!$V$45-CONFIGURACION!$V$59</f>
        <v>15.054073382207902</v>
      </c>
      <c r="AI12" s="140">
        <f>N12+CONFIGURACION!$W$45+CONFIGURACION!$W$59</f>
        <v>15.087954961155271</v>
      </c>
      <c r="AJ12" s="140">
        <f>N12+CONFIGURACION!$X$45+CONFIGURACION!$X$59</f>
        <v>15.082895437345746</v>
      </c>
      <c r="AK12" s="140">
        <f>N12+CONFIGURACION!$Y$45+CONFIGURACION!$Y$59</f>
        <v>15.07829587024618</v>
      </c>
      <c r="AL12" s="140">
        <f>N12+CONFIGURACION!$Z$45+CONFIGURACION!$Z$59</f>
        <v>15.074096265503096</v>
      </c>
      <c r="AM12" s="92"/>
      <c r="AN12" s="92"/>
    </row>
    <row r="13" spans="1:40" ht="18" customHeight="1" x14ac:dyDescent="0.2">
      <c r="B13" s="44" t="s">
        <v>56</v>
      </c>
      <c r="C13" s="45" t="s">
        <v>57</v>
      </c>
      <c r="D13" s="143">
        <v>2.5</v>
      </c>
      <c r="E13" s="46">
        <f>IFERROR(LOOKUP(9.99E+307,J$32:J$83),6.5)</f>
        <v>6.5</v>
      </c>
      <c r="F13" s="46"/>
      <c r="G13" s="48">
        <f t="shared" si="0"/>
        <v>6.5</v>
      </c>
      <c r="H13" s="48">
        <f>G13/(1-CONFIGURACION!$C$6)-G13</f>
        <v>6.5656565656565746E-2</v>
      </c>
      <c r="I13" s="48">
        <f t="shared" si="1"/>
        <v>6.5656565656565657</v>
      </c>
      <c r="J13" s="89">
        <v>0.1</v>
      </c>
      <c r="K13" s="48">
        <f t="shared" si="2"/>
        <v>0.72951739618406286</v>
      </c>
      <c r="L13" s="93">
        <f t="shared" si="3"/>
        <v>7.2951739618406286</v>
      </c>
      <c r="M13" s="50">
        <f>E4*(D13+CONFIGURACION!$D$34)</f>
        <v>7.2541562500000003</v>
      </c>
      <c r="N13" s="49">
        <f t="shared" si="4"/>
        <v>14.54933021184063</v>
      </c>
      <c r="O13" s="51">
        <f t="shared" si="5"/>
        <v>5.8197320847362519</v>
      </c>
      <c r="P13" s="131">
        <f>N13+CONFIGURACION!$D$45+CONFIGURACION!$D$59</f>
        <v>16.67433021184063</v>
      </c>
      <c r="Q13" s="132">
        <f>N13+CONFIGURACION!$E$45+CONFIGURACION!$E$59</f>
        <v>15.61183021184063</v>
      </c>
      <c r="R13" s="141">
        <f>N13+CONFIGURACION!$F$45-CONFIGURACION!$F$59</f>
        <v>15.007663545173964</v>
      </c>
      <c r="S13" s="142">
        <f>N13+CONFIGURACION!$G$45-CONFIGURACION!$G$59</f>
        <v>14.89308021184063</v>
      </c>
      <c r="T13" s="132">
        <f>N13+CONFIGURACION!$H$45-CONFIGURACION!$H$59</f>
        <v>14.82433021184063</v>
      </c>
      <c r="U13" s="132">
        <f>N13+CONFIGURACION!$I$45-CONFIGURACION!$I$59</f>
        <v>14.778496878507296</v>
      </c>
      <c r="V13" s="132">
        <f>N13+CONFIGURACION!$J$45-CONFIGURACION!$J$59</f>
        <v>14.745758783269201</v>
      </c>
      <c r="W13" s="132">
        <f>N13+CONFIGURACION!$K$45-CONFIGURACION!$K$59</f>
        <v>14.72120521184063</v>
      </c>
      <c r="X13" s="132">
        <f>N13+CONFIGURACION!$L$45-CONFIGURACION!$L$59</f>
        <v>14.702107989618408</v>
      </c>
      <c r="Y13" s="132">
        <f>N13+CONFIGURACION!$M$45-CONFIGURACION!$M$59</f>
        <v>14.686830211840631</v>
      </c>
      <c r="Z13" s="132">
        <f>N13+CONFIGURACION!$N$45-CONFIGURACION!$N$59</f>
        <v>14.67433021184063</v>
      </c>
      <c r="AA13" s="132">
        <f>N13+CONFIGURACION!$O$45-CONFIGURACION!$O$59</f>
        <v>14.663913545173964</v>
      </c>
      <c r="AB13" s="133">
        <f>N13+CONFIGURACION!$P$45-CONFIGURACION!$P$59</f>
        <v>14.655099442609862</v>
      </c>
      <c r="AC13" s="134">
        <f>N13+CONFIGURACION!$Q$45-CONFIGURACION!$Q$59</f>
        <v>14.647544497554916</v>
      </c>
      <c r="AD13" s="135">
        <f>N13+CONFIGURACION!$R$45-CONFIGURACION!$R$59</f>
        <v>14.640996878507297</v>
      </c>
      <c r="AE13" s="135">
        <f>N13+CONFIGURACION!$S$45-CONFIGURACION!$S$59</f>
        <v>14.63526771184063</v>
      </c>
      <c r="AF13" s="135">
        <f>N13+CONFIGURACION!$T$45-CONFIGURACION!$T$59</f>
        <v>14.630212564781807</v>
      </c>
      <c r="AG13" s="135">
        <f>N13+CONFIGURACION!$U$45-CONFIGURACION!$U$59</f>
        <v>14.625719100729517</v>
      </c>
      <c r="AH13" s="135">
        <f>N13+CONFIGURACION!$V$45-CONFIGURACION!$V$59</f>
        <v>14.621698632893262</v>
      </c>
      <c r="AI13" s="135">
        <f>N13+CONFIGURACION!$W$45+CONFIGURACION!$W$59</f>
        <v>14.655580211840631</v>
      </c>
      <c r="AJ13" s="135">
        <f>N13+CONFIGURACION!$X$45+CONFIGURACION!$X$59</f>
        <v>14.650520688031106</v>
      </c>
      <c r="AK13" s="135">
        <f>N13+CONFIGURACION!$Y$45+CONFIGURACION!$Y$59</f>
        <v>14.64592112093154</v>
      </c>
      <c r="AL13" s="135">
        <f>N13+CONFIGURACION!$Z$45+CONFIGURACION!$Z$59</f>
        <v>14.641721516188456</v>
      </c>
      <c r="AM13" s="92"/>
      <c r="AN13" s="92"/>
    </row>
    <row r="14" spans="1:40" ht="18" customHeight="1" x14ac:dyDescent="0.2">
      <c r="B14" s="52" t="s">
        <v>58</v>
      </c>
      <c r="C14" s="53" t="s">
        <v>59</v>
      </c>
      <c r="D14" s="143">
        <v>4</v>
      </c>
      <c r="E14" s="54">
        <f>IFERROR(LOOKUP(9.99E+307,K$32:K$83),13.14)</f>
        <v>13.14</v>
      </c>
      <c r="F14" s="54">
        <f>CONFIGURACION!$C$5/D14</f>
        <v>0.25</v>
      </c>
      <c r="G14" s="55">
        <f t="shared" si="0"/>
        <v>13.39</v>
      </c>
      <c r="H14" s="55">
        <f>G14/(1-CONFIGURACION!$C$6)-G14</f>
        <v>0.1352525252525254</v>
      </c>
      <c r="I14" s="55">
        <f t="shared" si="1"/>
        <v>13.525252525252526</v>
      </c>
      <c r="J14" s="89">
        <v>0.12</v>
      </c>
      <c r="K14" s="55">
        <f t="shared" si="2"/>
        <v>1.8443526170798901</v>
      </c>
      <c r="L14" s="93">
        <f t="shared" si="3"/>
        <v>15.369605142332416</v>
      </c>
      <c r="M14" s="57">
        <f>E4*(D14+CONFIGURACION!$D$36)</f>
        <v>10.77915625</v>
      </c>
      <c r="N14" s="56">
        <f t="shared" si="4"/>
        <v>26.148761392332418</v>
      </c>
      <c r="O14" s="58">
        <f t="shared" si="5"/>
        <v>6.5371903480831044</v>
      </c>
      <c r="P14" s="136">
        <f>N14+CONFIGURACION!$D$47+CONFIGURACION!$D$61</f>
        <v>28.273761392332418</v>
      </c>
      <c r="Q14" s="137">
        <f>N14+CONFIGURACION!$E$47+CONFIGURACION!$E$61</f>
        <v>27.211261392332418</v>
      </c>
      <c r="R14" s="141">
        <f>N14+CONFIGURACION!$F$47-CONFIGURACION!$F$61</f>
        <v>26.60709472566575</v>
      </c>
      <c r="S14" s="142">
        <f>N14+CONFIGURACION!$G$47-CONFIGURACION!$G$61</f>
        <v>26.492511392332418</v>
      </c>
      <c r="T14" s="137">
        <f>N14+CONFIGURACION!$H$47-CONFIGURACION!$H$61</f>
        <v>26.42376139233242</v>
      </c>
      <c r="U14" s="137">
        <f>N14+CONFIGURACION!$I$47-CONFIGURACION!$I$61</f>
        <v>26.377928058999085</v>
      </c>
      <c r="V14" s="137">
        <f>N14+CONFIGURACION!$J$47-CONFIGURACION!$J$61</f>
        <v>26.345189963760991</v>
      </c>
      <c r="W14" s="137">
        <f>N14+CONFIGURACION!$K$47-CONFIGURACION!$K$61</f>
        <v>26.320636392332418</v>
      </c>
      <c r="X14" s="137">
        <f>N14+CONFIGURACION!$L$47-CONFIGURACION!$L$61</f>
        <v>26.301539170110193</v>
      </c>
      <c r="Y14" s="137">
        <f>N14+CONFIGURACION!$M$47-CONFIGURACION!$M$61</f>
        <v>26.286261392332417</v>
      </c>
      <c r="Z14" s="137">
        <f>N14+CONFIGURACION!$N$47-CONFIGURACION!$N$61</f>
        <v>26.273761392332418</v>
      </c>
      <c r="AA14" s="137">
        <f>N14+CONFIGURACION!$O$47-CONFIGURACION!$O$61</f>
        <v>26.26334472566575</v>
      </c>
      <c r="AB14" s="138">
        <f>N14+CONFIGURACION!$P$47-CONFIGURACION!$P$61</f>
        <v>26.254530623101648</v>
      </c>
      <c r="AC14" s="139">
        <f>N14+CONFIGURACION!$Q$47-CONFIGURACION!$Q$61</f>
        <v>26.246975678046702</v>
      </c>
      <c r="AD14" s="140">
        <f>N14+CONFIGURACION!$R$47-CONFIGURACION!$R$61</f>
        <v>26.240428058999086</v>
      </c>
      <c r="AE14" s="140">
        <f>N14+CONFIGURACION!$S$47-CONFIGURACION!$S$61</f>
        <v>26.234698892332418</v>
      </c>
      <c r="AF14" s="140">
        <f>N14+CONFIGURACION!$T$47-CONFIGURACION!$T$61</f>
        <v>26.229643745273592</v>
      </c>
      <c r="AG14" s="140">
        <f>N14+CONFIGURACION!$U$47-CONFIGURACION!$U$61</f>
        <v>26.225150281221307</v>
      </c>
      <c r="AH14" s="140">
        <f>N14+CONFIGURACION!$V$47-CONFIGURACION!$V$61</f>
        <v>26.221129813385048</v>
      </c>
      <c r="AI14" s="140">
        <f>N14+CONFIGURACION!$W$47+CONFIGURACION!$W$61</f>
        <v>26.255011392332417</v>
      </c>
      <c r="AJ14" s="140">
        <f>N14+CONFIGURACION!$X$47+CONFIGURACION!$X$61</f>
        <v>26.249951868522892</v>
      </c>
      <c r="AK14" s="140">
        <f>N14+CONFIGURACION!$Y$47+CONFIGURACION!$Y$61</f>
        <v>26.245352301423324</v>
      </c>
      <c r="AL14" s="140">
        <f>N14+CONFIGURACION!$Z$47+CONFIGURACION!$Z$61</f>
        <v>26.241152696680242</v>
      </c>
      <c r="AM14" s="92"/>
      <c r="AN14" s="92"/>
    </row>
    <row r="15" spans="1:40" ht="18" customHeight="1" x14ac:dyDescent="0.2">
      <c r="B15" s="44" t="s">
        <v>60</v>
      </c>
      <c r="C15" s="45" t="s">
        <v>61</v>
      </c>
      <c r="D15" s="143">
        <v>3</v>
      </c>
      <c r="E15" s="46">
        <f>IFERROR(LOOKUP(9.99E+307,L$32:L$83),4.9)</f>
        <v>5.25</v>
      </c>
      <c r="F15" s="46"/>
      <c r="G15" s="48">
        <f t="shared" si="0"/>
        <v>5.25</v>
      </c>
      <c r="H15" s="48">
        <f>G15/(1-CONFIGURACION!$C$6)-G15</f>
        <v>5.3030303030302761E-2</v>
      </c>
      <c r="I15" s="48">
        <f t="shared" si="1"/>
        <v>5.3030303030303028</v>
      </c>
      <c r="J15" s="89">
        <v>0.11</v>
      </c>
      <c r="K15" s="48">
        <f t="shared" si="2"/>
        <v>0.65543071161048694</v>
      </c>
      <c r="L15" s="93">
        <f t="shared" si="3"/>
        <v>5.9584610146407897</v>
      </c>
      <c r="M15" s="50">
        <f>E4*(D15+CONFIGURACION!$D$34)</f>
        <v>8.4291562500000001</v>
      </c>
      <c r="N15" s="49">
        <f t="shared" si="4"/>
        <v>14.38761726464079</v>
      </c>
      <c r="O15" s="51">
        <f t="shared" si="5"/>
        <v>4.7958724215469299</v>
      </c>
      <c r="P15" s="131">
        <f>N15+CONFIGURACION!$D$45+CONFIGURACION!$D$59</f>
        <v>16.512617264640788</v>
      </c>
      <c r="Q15" s="132">
        <f>N15+CONFIGURACION!$E$45+CONFIGURACION!$E$59</f>
        <v>15.45011726464079</v>
      </c>
      <c r="R15" s="141">
        <f>N15+CONFIGURACION!$F$45-CONFIGURACION!$F$59</f>
        <v>14.845950597974124</v>
      </c>
      <c r="S15" s="142">
        <f>N15+CONFIGURACION!$G$45-CONFIGURACION!$G$59</f>
        <v>14.73136726464079</v>
      </c>
      <c r="T15" s="132">
        <f>N15+CONFIGURACION!$H$45-CONFIGURACION!$H$59</f>
        <v>14.66261726464079</v>
      </c>
      <c r="U15" s="132">
        <f>N15+CONFIGURACION!$I$45-CONFIGURACION!$I$59</f>
        <v>14.616783931307456</v>
      </c>
      <c r="V15" s="132">
        <f>N15+CONFIGURACION!$J$45-CONFIGURACION!$J$59</f>
        <v>14.584045836069361</v>
      </c>
      <c r="W15" s="132">
        <f>N15+CONFIGURACION!$K$45-CONFIGURACION!$K$59</f>
        <v>14.55949226464079</v>
      </c>
      <c r="X15" s="132">
        <f>N15+CONFIGURACION!$L$45-CONFIGURACION!$L$59</f>
        <v>14.540395042418568</v>
      </c>
      <c r="Y15" s="132">
        <f>N15+CONFIGURACION!$M$45-CONFIGURACION!$M$59</f>
        <v>14.525117264640791</v>
      </c>
      <c r="Z15" s="132">
        <f>N15+CONFIGURACION!$N$45-CONFIGURACION!$N$59</f>
        <v>14.51261726464079</v>
      </c>
      <c r="AA15" s="132">
        <f>N15+CONFIGURACION!$O$45-CONFIGURACION!$O$59</f>
        <v>14.502200597974124</v>
      </c>
      <c r="AB15" s="133">
        <f>N15+CONFIGURACION!$P$45-CONFIGURACION!$P$59</f>
        <v>14.493386495410022</v>
      </c>
      <c r="AC15" s="134">
        <f>N15+CONFIGURACION!$Q$45-CONFIGURACION!$Q$59</f>
        <v>14.485831550355076</v>
      </c>
      <c r="AD15" s="135">
        <f>N15+CONFIGURACION!$R$45-CONFIGURACION!$R$59</f>
        <v>14.479283931307457</v>
      </c>
      <c r="AE15" s="135">
        <f>N15+CONFIGURACION!$S$45-CONFIGURACION!$S$59</f>
        <v>14.47355476464079</v>
      </c>
      <c r="AF15" s="135">
        <f>N15+CONFIGURACION!$T$45-CONFIGURACION!$T$59</f>
        <v>14.468499617581967</v>
      </c>
      <c r="AG15" s="135">
        <f>N15+CONFIGURACION!$U$45-CONFIGURACION!$U$59</f>
        <v>14.464006153529677</v>
      </c>
      <c r="AH15" s="135">
        <f>N15+CONFIGURACION!$V$45-CONFIGURACION!$V$59</f>
        <v>14.459985685693422</v>
      </c>
      <c r="AI15" s="135">
        <f>N15+CONFIGURACION!$W$45+CONFIGURACION!$W$59</f>
        <v>14.493867264640791</v>
      </c>
      <c r="AJ15" s="135">
        <f>N15+CONFIGURACION!$X$45+CONFIGURACION!$X$59</f>
        <v>14.488807740831266</v>
      </c>
      <c r="AK15" s="135">
        <f>N15+CONFIGURACION!$Y$45+CONFIGURACION!$Y$59</f>
        <v>14.4842081737317</v>
      </c>
      <c r="AL15" s="135">
        <f>N15+CONFIGURACION!$Z$45+CONFIGURACION!$Z$59</f>
        <v>14.480008568988616</v>
      </c>
      <c r="AM15" s="92"/>
      <c r="AN15" s="92"/>
    </row>
    <row r="16" spans="1:40" ht="18" customHeight="1" x14ac:dyDescent="0.2">
      <c r="B16" s="52" t="s">
        <v>62</v>
      </c>
      <c r="C16" s="53" t="s">
        <v>63</v>
      </c>
      <c r="D16" s="143">
        <v>3</v>
      </c>
      <c r="E16" s="54">
        <v>7</v>
      </c>
      <c r="F16" s="54">
        <f>CONFIGURACION!$C$5/D16</f>
        <v>0.33333333333333331</v>
      </c>
      <c r="G16" s="55">
        <f t="shared" si="0"/>
        <v>7.333333333333333</v>
      </c>
      <c r="H16" s="55">
        <f>G16/(1-CONFIGURACION!$C$6)-G16</f>
        <v>7.4074074074074403E-2</v>
      </c>
      <c r="I16" s="55">
        <f t="shared" si="1"/>
        <v>7.4074074074074074</v>
      </c>
      <c r="J16" s="89">
        <v>0.1</v>
      </c>
      <c r="K16" s="55">
        <f t="shared" si="2"/>
        <v>0.82304526748971174</v>
      </c>
      <c r="L16" s="93">
        <f t="shared" si="3"/>
        <v>8.2304526748971192</v>
      </c>
      <c r="M16" s="57">
        <f>E4*(D16+CONFIGURACION!$D$35)</f>
        <v>8.575541666666668</v>
      </c>
      <c r="N16" s="56">
        <f t="shared" si="4"/>
        <v>16.805994341563789</v>
      </c>
      <c r="O16" s="58">
        <f t="shared" si="5"/>
        <v>5.601998113854596</v>
      </c>
      <c r="P16" s="136">
        <f>N16+CONFIGURACION!$D$46+CONFIGURACION!$D$60</f>
        <v>19.639327674897121</v>
      </c>
      <c r="Q16" s="137">
        <f>N16+CONFIGURACION!$E$46+CONFIGURACION!$E$60</f>
        <v>18.222661008230457</v>
      </c>
      <c r="R16" s="141">
        <f>N16+CONFIGURACION!$F$46-CONFIGURACION!$F$60</f>
        <v>17.4171054526749</v>
      </c>
      <c r="S16" s="142">
        <f>N16+CONFIGURACION!$G$46-CONFIGURACION!$G$60</f>
        <v>17.264327674897121</v>
      </c>
      <c r="T16" s="137">
        <f>N16+CONFIGURACION!$H$46-CONFIGURACION!$H$60</f>
        <v>17.172661008230452</v>
      </c>
      <c r="U16" s="137">
        <f>N16+CONFIGURACION!$I$46-CONFIGURACION!$I$60</f>
        <v>17.111549897119346</v>
      </c>
      <c r="V16" s="137">
        <f>N16+CONFIGURACION!$J$46-CONFIGURACION!$J$60</f>
        <v>17.067899103468548</v>
      </c>
      <c r="W16" s="137">
        <f>N16+CONFIGURACION!$K$46-CONFIGURACION!$K$60</f>
        <v>17.035161008230457</v>
      </c>
      <c r="X16" s="137">
        <f>N16+CONFIGURACION!$L$46-CONFIGURACION!$L$60</f>
        <v>17.009698045267491</v>
      </c>
      <c r="Y16" s="137">
        <f>N16+CONFIGURACION!$M$46-CONFIGURACION!$M$60</f>
        <v>16.989327674897122</v>
      </c>
      <c r="Z16" s="137">
        <f>N16+CONFIGURACION!$N$46-CONFIGURACION!$N$60</f>
        <v>16.972661008230453</v>
      </c>
      <c r="AA16" s="137">
        <f>N16+CONFIGURACION!$O$46-CONFIGURACION!$O$60</f>
        <v>16.958772119341564</v>
      </c>
      <c r="AB16" s="138">
        <f>N16+CONFIGURACION!$P$46-CONFIGURACION!$P$60</f>
        <v>16.947019982589428</v>
      </c>
      <c r="AC16" s="139">
        <f>N16+CONFIGURACION!$Q$46-CONFIGURACION!$Q$60</f>
        <v>16.936946722516172</v>
      </c>
      <c r="AD16" s="140">
        <f>N16+CONFIGURACION!$R$46-CONFIGURACION!$R$60</f>
        <v>16.928216563786009</v>
      </c>
      <c r="AE16" s="140">
        <f>N16+CONFIGURACION!$S$46-CONFIGURACION!$S$60</f>
        <v>16.920577674897121</v>
      </c>
      <c r="AF16" s="140">
        <f>N16+CONFIGURACION!$T$46-CONFIGURACION!$T$60</f>
        <v>16.913837478818689</v>
      </c>
      <c r="AG16" s="140">
        <f>N16+CONFIGURACION!$U$46-CONFIGURACION!$U$60</f>
        <v>16.90784619341564</v>
      </c>
      <c r="AH16" s="140">
        <f>N16+CONFIGURACION!$V$46-CONFIGURACION!$V$60</f>
        <v>16.902485569633964</v>
      </c>
      <c r="AI16" s="140">
        <f>N16+CONFIGURACION!$W$46+CONFIGURACION!$W$60</f>
        <v>16.947661008230455</v>
      </c>
      <c r="AJ16" s="140">
        <f>N16+CONFIGURACION!$X$46+CONFIGURACION!$X$60</f>
        <v>16.940914976484425</v>
      </c>
      <c r="AK16" s="140">
        <f>N16+CONFIGURACION!$Y$46+CONFIGURACION!$Y$60</f>
        <v>16.934782220351668</v>
      </c>
      <c r="AL16" s="140">
        <f>N16+CONFIGURACION!$Z$46+CONFIGURACION!$Z$60</f>
        <v>16.92918274736089</v>
      </c>
      <c r="AM16" s="92"/>
      <c r="AN16" s="92"/>
    </row>
    <row r="17" spans="1:40" ht="18" customHeight="1" x14ac:dyDescent="0.2">
      <c r="B17" s="44" t="s">
        <v>64</v>
      </c>
      <c r="C17" s="45" t="s">
        <v>65</v>
      </c>
      <c r="D17" s="143">
        <v>3</v>
      </c>
      <c r="E17" s="46">
        <f>IFERROR(LOOKUP(9.99E+307,N$32:N$83),8.6)</f>
        <v>8.6</v>
      </c>
      <c r="F17" s="46">
        <f>CONFIGURACION!$C$5/D17</f>
        <v>0.33333333333333331</v>
      </c>
      <c r="G17" s="47">
        <v>9.93</v>
      </c>
      <c r="H17" s="48">
        <f>G17/(1-CONFIGURACION!$C$6)-G17</f>
        <v>0.10030303030302967</v>
      </c>
      <c r="I17" s="48">
        <f t="shared" si="1"/>
        <v>10.030303030303029</v>
      </c>
      <c r="J17" s="89">
        <v>0.1</v>
      </c>
      <c r="K17" s="48">
        <f t="shared" si="2"/>
        <v>1.1144781144781142</v>
      </c>
      <c r="L17" s="93">
        <f t="shared" si="3"/>
        <v>11.144781144781144</v>
      </c>
      <c r="M17" s="50">
        <f>E4*(D17+CONFIGURACION!$D$35)</f>
        <v>8.575541666666668</v>
      </c>
      <c r="N17" s="49">
        <f t="shared" si="4"/>
        <v>19.720322811447812</v>
      </c>
      <c r="O17" s="51">
        <f t="shared" si="5"/>
        <v>6.5734409371492708</v>
      </c>
      <c r="P17" s="131">
        <f>N17+CONFIGURACION!$D$46+CONFIGURACION!$D$60</f>
        <v>22.553656144781144</v>
      </c>
      <c r="Q17" s="132">
        <f>N17+CONFIGURACION!$E$46+CONFIGURACION!$E$60</f>
        <v>21.136989478114479</v>
      </c>
      <c r="R17" s="141">
        <f>N17+CONFIGURACION!$F$46-CONFIGURACION!$F$60</f>
        <v>20.331433922558922</v>
      </c>
      <c r="S17" s="142">
        <f>N17+CONFIGURACION!$G$46-CONFIGURACION!$G$60</f>
        <v>20.178656144781144</v>
      </c>
      <c r="T17" s="132">
        <f>N17+CONFIGURACION!$H$46-CONFIGURACION!$H$60</f>
        <v>20.086989478114475</v>
      </c>
      <c r="U17" s="132">
        <f>N17+CONFIGURACION!$I$46-CONFIGURACION!$I$60</f>
        <v>20.025878367003369</v>
      </c>
      <c r="V17" s="132">
        <f>N17+CONFIGURACION!$J$46-CONFIGURACION!$J$60</f>
        <v>19.982227573352571</v>
      </c>
      <c r="W17" s="132">
        <f>N17+CONFIGURACION!$K$46-CONFIGURACION!$K$60</f>
        <v>19.949489478114479</v>
      </c>
      <c r="X17" s="132">
        <f>N17+CONFIGURACION!$L$46-CONFIGURACION!$L$60</f>
        <v>19.924026515151514</v>
      </c>
      <c r="Y17" s="132">
        <f>N17+CONFIGURACION!$M$46-CONFIGURACION!$M$60</f>
        <v>19.903656144781145</v>
      </c>
      <c r="Z17" s="132">
        <f>N17+CONFIGURACION!$N$46-CONFIGURACION!$N$60</f>
        <v>19.886989478114476</v>
      </c>
      <c r="AA17" s="132">
        <f>N17+CONFIGURACION!$O$46-CONFIGURACION!$O$60</f>
        <v>19.873100589225587</v>
      </c>
      <c r="AB17" s="133">
        <f>N17+CONFIGURACION!$P$46-CONFIGURACION!$P$60</f>
        <v>19.86134845247345</v>
      </c>
      <c r="AC17" s="134">
        <f>N17+CONFIGURACION!$Q$46-CONFIGURACION!$Q$60</f>
        <v>19.851275192400195</v>
      </c>
      <c r="AD17" s="135">
        <f>N17+CONFIGURACION!$R$46-CONFIGURACION!$R$60</f>
        <v>19.842545033670032</v>
      </c>
      <c r="AE17" s="135">
        <f>N17+CONFIGURACION!$S$46-CONFIGURACION!$S$60</f>
        <v>19.834906144781144</v>
      </c>
      <c r="AF17" s="135">
        <f>N17+CONFIGURACION!$T$46-CONFIGURACION!$T$60</f>
        <v>19.828165948702711</v>
      </c>
      <c r="AG17" s="135">
        <f>N17+CONFIGURACION!$U$46-CONFIGURACION!$U$60</f>
        <v>19.822174663299663</v>
      </c>
      <c r="AH17" s="135">
        <f>N17+CONFIGURACION!$V$46-CONFIGURACION!$V$60</f>
        <v>19.816814039517986</v>
      </c>
      <c r="AI17" s="135">
        <f>N17+CONFIGURACION!$W$46+CONFIGURACION!$W$60</f>
        <v>19.861989478114477</v>
      </c>
      <c r="AJ17" s="135">
        <f>N17+CONFIGURACION!$X$46+CONFIGURACION!$X$60</f>
        <v>19.855243446368448</v>
      </c>
      <c r="AK17" s="135">
        <f>N17+CONFIGURACION!$Y$46+CONFIGURACION!$Y$60</f>
        <v>19.84911069023569</v>
      </c>
      <c r="AL17" s="135">
        <f>N17+CONFIGURACION!$Z$46+CONFIGURACION!$Z$60</f>
        <v>19.843511217244913</v>
      </c>
      <c r="AM17" s="92"/>
      <c r="AN17" s="92"/>
    </row>
    <row r="18" spans="1:40" ht="18" customHeight="1" x14ac:dyDescent="0.2">
      <c r="B18" s="52" t="s">
        <v>66</v>
      </c>
      <c r="C18" s="53" t="s">
        <v>67</v>
      </c>
      <c r="D18" s="143">
        <v>4</v>
      </c>
      <c r="E18" s="54">
        <f>IFERROR(LOOKUP(9.99E+307,O$32:O$83),8.55)</f>
        <v>8.5500000000000007</v>
      </c>
      <c r="F18" s="54">
        <f>CONFIGURACION!$C$5/D18</f>
        <v>0.25</v>
      </c>
      <c r="G18" s="55">
        <f t="shared" ref="G18:G25" si="6">E18+F18</f>
        <v>8.8000000000000007</v>
      </c>
      <c r="H18" s="55">
        <f>G18/(1-CONFIGURACION!$C$6)-G18</f>
        <v>8.8888888888888573E-2</v>
      </c>
      <c r="I18" s="55">
        <f t="shared" si="1"/>
        <v>8.8888888888888893</v>
      </c>
      <c r="J18" s="89">
        <v>0.06</v>
      </c>
      <c r="K18" s="55">
        <f t="shared" si="2"/>
        <v>0.56737588652482351</v>
      </c>
      <c r="L18" s="93">
        <f t="shared" si="3"/>
        <v>9.4562647754137128</v>
      </c>
      <c r="M18" s="57">
        <f>E4*(D18+CONFIGURACION!$D$36)</f>
        <v>10.77915625</v>
      </c>
      <c r="N18" s="56">
        <f t="shared" si="4"/>
        <v>20.235421025413714</v>
      </c>
      <c r="O18" s="58">
        <f t="shared" si="5"/>
        <v>5.0588552563534286</v>
      </c>
      <c r="P18" s="136">
        <f>N18+CONFIGURACION!$D$47+CONFIGURACION!$D$61</f>
        <v>22.360421025413714</v>
      </c>
      <c r="Q18" s="137">
        <f>N18+CONFIGURACION!$E$47+CONFIGURACION!$E$61</f>
        <v>21.297921025413714</v>
      </c>
      <c r="R18" s="141">
        <f>N18+CONFIGURACION!$F$47-CONFIGURACION!$F$61</f>
        <v>20.693754358747046</v>
      </c>
      <c r="S18" s="142">
        <f>N18+CONFIGURACION!$G$47-CONFIGURACION!$G$61</f>
        <v>20.579171025413714</v>
      </c>
      <c r="T18" s="137">
        <f>N18+CONFIGURACION!$H$47-CONFIGURACION!$H$61</f>
        <v>20.510421025413716</v>
      </c>
      <c r="U18" s="137">
        <f>N18+CONFIGURACION!$I$47-CONFIGURACION!$I$61</f>
        <v>20.464587692080382</v>
      </c>
      <c r="V18" s="137">
        <f>N18+CONFIGURACION!$J$47-CONFIGURACION!$J$61</f>
        <v>20.431849596842287</v>
      </c>
      <c r="W18" s="137">
        <f>N18+CONFIGURACION!$K$47-CONFIGURACION!$K$61</f>
        <v>20.407296025413714</v>
      </c>
      <c r="X18" s="137">
        <f>N18+CONFIGURACION!$L$47-CONFIGURACION!$L$61</f>
        <v>20.388198803191489</v>
      </c>
      <c r="Y18" s="137">
        <f>N18+CONFIGURACION!$M$47-CONFIGURACION!$M$61</f>
        <v>20.372921025413714</v>
      </c>
      <c r="Z18" s="137">
        <f>N18+CONFIGURACION!$N$47-CONFIGURACION!$N$61</f>
        <v>20.360421025413714</v>
      </c>
      <c r="AA18" s="137">
        <f>N18+CONFIGURACION!$O$47-CONFIGURACION!$O$61</f>
        <v>20.350004358747046</v>
      </c>
      <c r="AB18" s="138">
        <f>N18+CONFIGURACION!$P$47-CONFIGURACION!$P$61</f>
        <v>20.341190256182944</v>
      </c>
      <c r="AC18" s="139">
        <f>N18+CONFIGURACION!$Q$47-CONFIGURACION!$Q$61</f>
        <v>20.333635311127999</v>
      </c>
      <c r="AD18" s="140">
        <f>N18+CONFIGURACION!$R$47-CONFIGURACION!$R$61</f>
        <v>20.327087692080383</v>
      </c>
      <c r="AE18" s="140">
        <f>N18+CONFIGURACION!$S$47-CONFIGURACION!$S$61</f>
        <v>20.321358525413714</v>
      </c>
      <c r="AF18" s="140">
        <f>N18+CONFIGURACION!$T$47-CONFIGURACION!$T$61</f>
        <v>20.316303378354888</v>
      </c>
      <c r="AG18" s="140">
        <f>N18+CONFIGURACION!$U$47-CONFIGURACION!$U$61</f>
        <v>20.311809914302604</v>
      </c>
      <c r="AH18" s="140">
        <f>N18+CONFIGURACION!$V$47-CONFIGURACION!$V$61</f>
        <v>20.307789446466344</v>
      </c>
      <c r="AI18" s="140">
        <f>N18+CONFIGURACION!$W$47+CONFIGURACION!$W$61</f>
        <v>20.341671025413714</v>
      </c>
      <c r="AJ18" s="140">
        <f>N18+CONFIGURACION!$X$47+CONFIGURACION!$X$61</f>
        <v>20.336611501604189</v>
      </c>
      <c r="AK18" s="140">
        <f>N18+CONFIGURACION!$Y$47+CONFIGURACION!$Y$61</f>
        <v>20.332011934504621</v>
      </c>
      <c r="AL18" s="140">
        <f>N18+CONFIGURACION!$Z$47+CONFIGURACION!$Z$61</f>
        <v>20.327812329761539</v>
      </c>
      <c r="AM18" s="92"/>
      <c r="AN18" s="92"/>
    </row>
    <row r="19" spans="1:40" ht="18" customHeight="1" x14ac:dyDescent="0.2">
      <c r="B19" s="44" t="s">
        <v>68</v>
      </c>
      <c r="C19" s="45" t="s">
        <v>69</v>
      </c>
      <c r="D19" s="143">
        <v>3.5</v>
      </c>
      <c r="E19" s="46">
        <f>IFERROR(LOOKUP(9.99E+307,P$32:P$83),13.2)</f>
        <v>11.5</v>
      </c>
      <c r="F19" s="46">
        <f>CONFIGURACION!$C$5/D19</f>
        <v>0.2857142857142857</v>
      </c>
      <c r="G19" s="48">
        <f t="shared" si="6"/>
        <v>11.785714285714286</v>
      </c>
      <c r="H19" s="48">
        <f>G19/(1-CONFIGURACION!$C$6)-G19</f>
        <v>0.11904761904761862</v>
      </c>
      <c r="I19" s="48">
        <f t="shared" si="1"/>
        <v>11.904761904761905</v>
      </c>
      <c r="J19" s="89">
        <v>0.06</v>
      </c>
      <c r="K19" s="48">
        <f t="shared" si="2"/>
        <v>0.75987841945288892</v>
      </c>
      <c r="L19" s="93">
        <f t="shared" si="3"/>
        <v>12.664640324214794</v>
      </c>
      <c r="M19" s="50">
        <f>E4*(D19+CONFIGURACION!$D$36)</f>
        <v>9.6041562500000008</v>
      </c>
      <c r="N19" s="49">
        <f t="shared" si="4"/>
        <v>22.268796574214797</v>
      </c>
      <c r="O19" s="51">
        <f t="shared" si="5"/>
        <v>6.3625133069185136</v>
      </c>
      <c r="P19" s="131">
        <f>N19+CONFIGURACION!$D$47+CONFIGURACION!$D$61</f>
        <v>24.393796574214797</v>
      </c>
      <c r="Q19" s="132">
        <f>N19+CONFIGURACION!$E$47+CONFIGURACION!$E$61</f>
        <v>23.331296574214797</v>
      </c>
      <c r="R19" s="141">
        <f>N19+CONFIGURACION!$F$47-CONFIGURACION!$F$61</f>
        <v>22.727129907548129</v>
      </c>
      <c r="S19" s="142">
        <f>N19+CONFIGURACION!$G$47-CONFIGURACION!$G$61</f>
        <v>22.612546574214797</v>
      </c>
      <c r="T19" s="132">
        <f>N19+CONFIGURACION!$H$47-CONFIGURACION!$H$61</f>
        <v>22.543796574214799</v>
      </c>
      <c r="U19" s="132">
        <f>N19+CONFIGURACION!$I$47-CONFIGURACION!$I$61</f>
        <v>22.497963240881464</v>
      </c>
      <c r="V19" s="132">
        <f>N19+CONFIGURACION!$J$47-CONFIGURACION!$J$61</f>
        <v>22.46522514564337</v>
      </c>
      <c r="W19" s="132">
        <f>N19+CONFIGURACION!$K$47-CONFIGURACION!$K$61</f>
        <v>22.440671574214797</v>
      </c>
      <c r="X19" s="132">
        <f>N19+CONFIGURACION!$L$47-CONFIGURACION!$L$61</f>
        <v>22.421574351992572</v>
      </c>
      <c r="Y19" s="132">
        <f>N19+CONFIGURACION!$M$47-CONFIGURACION!$M$61</f>
        <v>22.406296574214796</v>
      </c>
      <c r="Z19" s="132">
        <f>N19+CONFIGURACION!$N$47-CONFIGURACION!$N$61</f>
        <v>22.393796574214797</v>
      </c>
      <c r="AA19" s="132">
        <f>N19+CONFIGURACION!$O$47-CONFIGURACION!$O$61</f>
        <v>22.383379907548129</v>
      </c>
      <c r="AB19" s="133">
        <f>N19+CONFIGURACION!$P$47-CONFIGURACION!$P$61</f>
        <v>22.374565804984027</v>
      </c>
      <c r="AC19" s="134">
        <f>N19+CONFIGURACION!$Q$47-CONFIGURACION!$Q$61</f>
        <v>22.367010859929081</v>
      </c>
      <c r="AD19" s="135">
        <f>N19+CONFIGURACION!$R$47-CONFIGURACION!$R$61</f>
        <v>22.360463240881465</v>
      </c>
      <c r="AE19" s="135">
        <f>N19+CONFIGURACION!$S$47-CONFIGURACION!$S$61</f>
        <v>22.354734074214797</v>
      </c>
      <c r="AF19" s="135">
        <f>N19+CONFIGURACION!$T$47-CONFIGURACION!$T$61</f>
        <v>22.349678927155971</v>
      </c>
      <c r="AG19" s="135">
        <f>N19+CONFIGURACION!$U$47-CONFIGURACION!$U$61</f>
        <v>22.345185463103686</v>
      </c>
      <c r="AH19" s="135">
        <f>N19+CONFIGURACION!$V$47-CONFIGURACION!$V$61</f>
        <v>22.341164995267427</v>
      </c>
      <c r="AI19" s="135">
        <f>N19+CONFIGURACION!$W$47+CONFIGURACION!$W$61</f>
        <v>22.375046574214796</v>
      </c>
      <c r="AJ19" s="135">
        <f>N19+CONFIGURACION!$X$47+CONFIGURACION!$X$61</f>
        <v>22.369987050405271</v>
      </c>
      <c r="AK19" s="135">
        <f>N19+CONFIGURACION!$Y$47+CONFIGURACION!$Y$61</f>
        <v>22.365387483305703</v>
      </c>
      <c r="AL19" s="135">
        <f>N19+CONFIGURACION!$Z$47+CONFIGURACION!$Z$61</f>
        <v>22.361187878562621</v>
      </c>
      <c r="AM19" s="92"/>
      <c r="AN19" s="92"/>
    </row>
    <row r="20" spans="1:40" ht="18" customHeight="1" x14ac:dyDescent="0.2">
      <c r="B20" s="52" t="s">
        <v>70</v>
      </c>
      <c r="C20" s="53" t="s">
        <v>71</v>
      </c>
      <c r="D20" s="143">
        <v>4</v>
      </c>
      <c r="E20" s="46">
        <f>IFERROR(LOOKUP(9.99E+307,Q$32:Q$83),13.2)</f>
        <v>12</v>
      </c>
      <c r="F20" s="54">
        <f>CONFIGURACION!$C$5/D20</f>
        <v>0.25</v>
      </c>
      <c r="G20" s="48">
        <f t="shared" si="6"/>
        <v>12.25</v>
      </c>
      <c r="H20" s="55">
        <f>G20/(1-CONFIGURACION!$C$6)-G20</f>
        <v>0.1237373737373737</v>
      </c>
      <c r="I20" s="55">
        <f t="shared" si="1"/>
        <v>12.373737373737374</v>
      </c>
      <c r="J20" s="89">
        <v>0.18</v>
      </c>
      <c r="K20" s="55">
        <f t="shared" si="2"/>
        <v>2.7161862527716174</v>
      </c>
      <c r="L20" s="93">
        <f t="shared" si="3"/>
        <v>15.089923626508991</v>
      </c>
      <c r="M20" s="57">
        <f>E4*(D20+CONFIGURACION!$D$36)</f>
        <v>10.77915625</v>
      </c>
      <c r="N20" s="56">
        <f t="shared" si="4"/>
        <v>25.869079876508991</v>
      </c>
      <c r="O20" s="58">
        <f t="shared" si="5"/>
        <v>6.4672699691272477</v>
      </c>
      <c r="P20" s="136">
        <f>N20+CONFIGURACION!$D$47+CONFIGURACION!$D$61</f>
        <v>27.994079876508991</v>
      </c>
      <c r="Q20" s="137">
        <f>N20+CONFIGURACION!$E$47+CONFIGURACION!$E$61</f>
        <v>26.931579876508991</v>
      </c>
      <c r="R20" s="141">
        <f>N20+CONFIGURACION!$F$47-CONFIGURACION!$F$61</f>
        <v>26.327413209842323</v>
      </c>
      <c r="S20" s="142">
        <f>N20+CONFIGURACION!$G$47-CONFIGURACION!$G$61</f>
        <v>26.212829876508991</v>
      </c>
      <c r="T20" s="137">
        <f>N20+CONFIGURACION!$H$47-CONFIGURACION!$H$61</f>
        <v>26.144079876508993</v>
      </c>
      <c r="U20" s="137">
        <f>N20+CONFIGURACION!$I$47-CONFIGURACION!$I$61</f>
        <v>26.098246543175659</v>
      </c>
      <c r="V20" s="137">
        <f>N20+CONFIGURACION!$J$47-CONFIGURACION!$J$61</f>
        <v>26.065508447937564</v>
      </c>
      <c r="W20" s="137">
        <f>N20+CONFIGURACION!$K$47-CONFIGURACION!$K$61</f>
        <v>26.040954876508991</v>
      </c>
      <c r="X20" s="137">
        <f>N20+CONFIGURACION!$L$47-CONFIGURACION!$L$61</f>
        <v>26.021857654286766</v>
      </c>
      <c r="Y20" s="137">
        <f>N20+CONFIGURACION!$M$47-CONFIGURACION!$M$61</f>
        <v>26.00657987650899</v>
      </c>
      <c r="Z20" s="137">
        <f>N20+CONFIGURACION!$N$47-CONFIGURACION!$N$61</f>
        <v>25.994079876508991</v>
      </c>
      <c r="AA20" s="137">
        <f>N20+CONFIGURACION!$O$47-CONFIGURACION!$O$61</f>
        <v>25.983663209842323</v>
      </c>
      <c r="AB20" s="138">
        <f>N20+CONFIGURACION!$P$47-CONFIGURACION!$P$61</f>
        <v>25.974849107278221</v>
      </c>
      <c r="AC20" s="139">
        <f>N20+CONFIGURACION!$Q$47-CONFIGURACION!$Q$61</f>
        <v>25.967294162223276</v>
      </c>
      <c r="AD20" s="140">
        <f>N20+CONFIGURACION!$R$47-CONFIGURACION!$R$61</f>
        <v>25.960746543175659</v>
      </c>
      <c r="AE20" s="140">
        <f>N20+CONFIGURACION!$S$47-CONFIGURACION!$S$61</f>
        <v>25.955017376508991</v>
      </c>
      <c r="AF20" s="140">
        <f>N20+CONFIGURACION!$T$47-CONFIGURACION!$T$61</f>
        <v>25.949962229450165</v>
      </c>
      <c r="AG20" s="140">
        <f>N20+CONFIGURACION!$U$47-CONFIGURACION!$U$61</f>
        <v>25.94546876539788</v>
      </c>
      <c r="AH20" s="140">
        <f>N20+CONFIGURACION!$V$47-CONFIGURACION!$V$61</f>
        <v>25.941448297561621</v>
      </c>
      <c r="AI20" s="140">
        <f>N20+CONFIGURACION!$W$47+CONFIGURACION!$W$61</f>
        <v>25.97532987650899</v>
      </c>
      <c r="AJ20" s="140">
        <f>N20+CONFIGURACION!$X$47+CONFIGURACION!$X$61</f>
        <v>25.970270352699465</v>
      </c>
      <c r="AK20" s="140">
        <f>N20+CONFIGURACION!$Y$47+CONFIGURACION!$Y$61</f>
        <v>25.965670785599897</v>
      </c>
      <c r="AL20" s="140">
        <f>N20+CONFIGURACION!$Z$47+CONFIGURACION!$Z$61</f>
        <v>25.961471180856815</v>
      </c>
      <c r="AM20" s="92"/>
      <c r="AN20" s="92"/>
    </row>
    <row r="21" spans="1:40" ht="18" customHeight="1" x14ac:dyDescent="0.2">
      <c r="B21" s="44" t="s">
        <v>72</v>
      </c>
      <c r="C21" s="45" t="s">
        <v>73</v>
      </c>
      <c r="D21" s="143">
        <v>2.5</v>
      </c>
      <c r="E21" s="46">
        <v>6.75</v>
      </c>
      <c r="F21" s="46"/>
      <c r="G21" s="48">
        <f t="shared" si="6"/>
        <v>6.75</v>
      </c>
      <c r="H21" s="48">
        <f>G21/(1-CONFIGURACION!$C$6)-G21</f>
        <v>6.8181818181818343E-2</v>
      </c>
      <c r="I21" s="48">
        <f t="shared" si="1"/>
        <v>6.8181818181818183</v>
      </c>
      <c r="J21" s="89">
        <v>0.11</v>
      </c>
      <c r="K21" s="48">
        <f t="shared" si="2"/>
        <v>0.84269662921348321</v>
      </c>
      <c r="L21" s="93">
        <f t="shared" si="3"/>
        <v>7.6608784473953015</v>
      </c>
      <c r="M21" s="50">
        <f>E4*(D21+CONFIGURACION!$D$34)</f>
        <v>7.2541562500000003</v>
      </c>
      <c r="N21" s="49">
        <f t="shared" si="4"/>
        <v>14.915034697395303</v>
      </c>
      <c r="O21" s="51">
        <f t="shared" si="5"/>
        <v>5.9660138789581207</v>
      </c>
      <c r="P21" s="131">
        <f>N21+CONFIGURACION!$D$45+CONFIGURACION!$D$59</f>
        <v>17.040034697395303</v>
      </c>
      <c r="Q21" s="132">
        <f>N21+CONFIGURACION!$E$45+CONFIGURACION!$E$59</f>
        <v>15.977534697395303</v>
      </c>
      <c r="R21" s="141">
        <f>N21+CONFIGURACION!$F$45-CONFIGURACION!$F$59</f>
        <v>15.373368030728637</v>
      </c>
      <c r="S21" s="142">
        <f>N21+CONFIGURACION!$G$45-CONFIGURACION!$G$59</f>
        <v>15.258784697395303</v>
      </c>
      <c r="T21" s="132">
        <f>N21+CONFIGURACION!$H$45-CONFIGURACION!$H$59</f>
        <v>15.190034697395303</v>
      </c>
      <c r="U21" s="132">
        <f>N21+CONFIGURACION!$I$45-CONFIGURACION!$I$59</f>
        <v>15.144201364061969</v>
      </c>
      <c r="V21" s="132">
        <f>N21+CONFIGURACION!$J$45-CONFIGURACION!$J$59</f>
        <v>15.111463268823874</v>
      </c>
      <c r="W21" s="132">
        <f>N21+CONFIGURACION!$K$45-CONFIGURACION!$K$59</f>
        <v>15.086909697395303</v>
      </c>
      <c r="X21" s="132">
        <f>N21+CONFIGURACION!$L$45-CONFIGURACION!$L$59</f>
        <v>15.067812475173081</v>
      </c>
      <c r="Y21" s="132">
        <f>N21+CONFIGURACION!$M$45-CONFIGURACION!$M$59</f>
        <v>15.052534697395304</v>
      </c>
      <c r="Z21" s="132">
        <f>N21+CONFIGURACION!$N$45-CONFIGURACION!$N$59</f>
        <v>15.040034697395303</v>
      </c>
      <c r="AA21" s="132">
        <f>N21+CONFIGURACION!$O$45-CONFIGURACION!$O$59</f>
        <v>15.029618030728637</v>
      </c>
      <c r="AB21" s="133">
        <f>N21+CONFIGURACION!$P$45-CONFIGURACION!$P$59</f>
        <v>15.020803928164534</v>
      </c>
      <c r="AC21" s="134">
        <f>N21+CONFIGURACION!$Q$45-CONFIGURACION!$Q$59</f>
        <v>15.013248983109589</v>
      </c>
      <c r="AD21" s="135">
        <f>N21+CONFIGURACION!$R$45-CONFIGURACION!$R$59</f>
        <v>15.00670136406197</v>
      </c>
      <c r="AE21" s="135">
        <f>N21+CONFIGURACION!$S$45-CONFIGURACION!$S$59</f>
        <v>15.000972197395303</v>
      </c>
      <c r="AF21" s="135">
        <f>N21+CONFIGURACION!$T$45-CONFIGURACION!$T$59</f>
        <v>14.99591705033648</v>
      </c>
      <c r="AG21" s="135">
        <f>N21+CONFIGURACION!$U$45-CONFIGURACION!$U$59</f>
        <v>14.99142358628419</v>
      </c>
      <c r="AH21" s="135">
        <f>N21+CONFIGURACION!$V$45-CONFIGURACION!$V$59</f>
        <v>14.987403118447935</v>
      </c>
      <c r="AI21" s="135">
        <f>N21+CONFIGURACION!$W$45+CONFIGURACION!$W$59</f>
        <v>15.021284697395304</v>
      </c>
      <c r="AJ21" s="135">
        <f>N21+CONFIGURACION!$X$45+CONFIGURACION!$X$59</f>
        <v>15.016225173585779</v>
      </c>
      <c r="AK21" s="135">
        <f>N21+CONFIGURACION!$Y$45+CONFIGURACION!$Y$59</f>
        <v>15.011625606486213</v>
      </c>
      <c r="AL21" s="135">
        <f>N21+CONFIGURACION!$Z$45+CONFIGURACION!$Z$59</f>
        <v>15.007426001743129</v>
      </c>
      <c r="AM21" s="92"/>
      <c r="AN21" s="92"/>
    </row>
    <row r="22" spans="1:40" ht="18" customHeight="1" x14ac:dyDescent="0.2">
      <c r="B22" s="52" t="s">
        <v>74</v>
      </c>
      <c r="C22" s="53" t="s">
        <v>75</v>
      </c>
      <c r="D22" s="143">
        <v>1.25</v>
      </c>
      <c r="E22" s="54">
        <f>IFERROR(LOOKUP(9.99E+307,S$32:S$83),8.5)</f>
        <v>8.5</v>
      </c>
      <c r="F22" s="54"/>
      <c r="G22" s="55">
        <f t="shared" si="6"/>
        <v>8.5</v>
      </c>
      <c r="H22" s="55">
        <f>G22/(1-CONFIGURACION!$C$6)-G22</f>
        <v>8.5858585858586522E-2</v>
      </c>
      <c r="I22" s="55">
        <f t="shared" si="1"/>
        <v>8.5858585858585865</v>
      </c>
      <c r="J22" s="89">
        <v>0.11</v>
      </c>
      <c r="K22" s="55">
        <f t="shared" si="2"/>
        <v>1.0611735330836449</v>
      </c>
      <c r="L22" s="93">
        <f t="shared" si="3"/>
        <v>9.6470321189422314</v>
      </c>
      <c r="M22" s="57">
        <f>E4*(D22+CONFIGURACION!$D$38)</f>
        <v>4.3166562500000003</v>
      </c>
      <c r="N22" s="56">
        <f t="shared" si="4"/>
        <v>13.963688368942233</v>
      </c>
      <c r="O22" s="58">
        <f t="shared" si="5"/>
        <v>11.170950695153786</v>
      </c>
      <c r="P22" s="136">
        <f>N22+CONFIGURACION!$D$49+CONFIGURACION!$D$63</f>
        <v>16.088688368942233</v>
      </c>
      <c r="Q22" s="137">
        <f>N22+CONFIGURACION!$E$49+CONFIGURACION!$E$63</f>
        <v>15.026188368942233</v>
      </c>
      <c r="R22" s="141">
        <f>N22+CONFIGURACION!$F$49-CONFIGURACION!$F$63</f>
        <v>14.422021702275567</v>
      </c>
      <c r="S22" s="142">
        <f>N22+CONFIGURACION!$G$49-CONFIGURACION!$G$63</f>
        <v>14.307438368942233</v>
      </c>
      <c r="T22" s="137">
        <f>N22+CONFIGURACION!$H$49-CONFIGURACION!$H$63</f>
        <v>14.238688368942233</v>
      </c>
      <c r="U22" s="137">
        <f>N22+CONFIGURACION!$I$49-CONFIGURACION!$I$63</f>
        <v>14.192855035608899</v>
      </c>
      <c r="V22" s="137">
        <f>N22+CONFIGURACION!$J$49-CONFIGURACION!$J$63</f>
        <v>14.160116940370804</v>
      </c>
      <c r="W22" s="137">
        <f>N22+CONFIGURACION!$K$49-CONFIGURACION!$K$63</f>
        <v>14.135563368942233</v>
      </c>
      <c r="X22" s="137">
        <f>N22+CONFIGURACION!$L$49-CONFIGURACION!$L$63</f>
        <v>14.116466146720011</v>
      </c>
      <c r="Y22" s="137">
        <f>N22+CONFIGURACION!$M$49-CONFIGURACION!$M$63</f>
        <v>14.101188368942234</v>
      </c>
      <c r="Z22" s="137">
        <f>N22+CONFIGURACION!$N$49-CONFIGURACION!$N$63</f>
        <v>14.088688368942233</v>
      </c>
      <c r="AA22" s="137">
        <f>N22+CONFIGURACION!$O$49-CONFIGURACION!$O$63</f>
        <v>14.078271702275567</v>
      </c>
      <c r="AB22" s="138">
        <f>N22+CONFIGURACION!$P$49-CONFIGURACION!$P$63</f>
        <v>14.069457599711464</v>
      </c>
      <c r="AC22" s="139">
        <f>N22+CONFIGURACION!$Q$49-CONFIGURACION!$Q$63</f>
        <v>14.061902654656519</v>
      </c>
      <c r="AD22" s="140">
        <f>N22+CONFIGURACION!$R$49-CONFIGURACION!$R$63</f>
        <v>14.055355035608899</v>
      </c>
      <c r="AE22" s="140">
        <f>N22+CONFIGURACION!$S$49-CONFIGURACION!$S$63</f>
        <v>14.049625868942233</v>
      </c>
      <c r="AF22" s="140">
        <f>N22+CONFIGURACION!$T$49-CONFIGURACION!$T$63</f>
        <v>14.04457072188341</v>
      </c>
      <c r="AG22" s="140">
        <f>N22+CONFIGURACION!$U$49-CONFIGURACION!$U$63</f>
        <v>14.04007725783112</v>
      </c>
      <c r="AH22" s="140">
        <f>N22+CONFIGURACION!$V$49-CONFIGURACION!$V$63</f>
        <v>14.036056789994865</v>
      </c>
      <c r="AI22" s="140">
        <f>N22+CONFIGURACION!$W$49+CONFIGURACION!$W$63</f>
        <v>14.069938368942234</v>
      </c>
      <c r="AJ22" s="140">
        <f>N22+CONFIGURACION!$X$49+CONFIGURACION!$X$63</f>
        <v>14.064878845132709</v>
      </c>
      <c r="AK22" s="140">
        <f>N22+CONFIGURACION!$Y$49+CONFIGURACION!$Y$63</f>
        <v>14.060279278033143</v>
      </c>
      <c r="AL22" s="140">
        <f>N22+CONFIGURACION!$Z$49+CONFIGURACION!$Z$63</f>
        <v>14.056079673290059</v>
      </c>
      <c r="AM22" s="92"/>
      <c r="AN22" s="92"/>
    </row>
    <row r="23" spans="1:40" ht="18" customHeight="1" x14ac:dyDescent="0.2">
      <c r="B23" s="44" t="s">
        <v>76</v>
      </c>
      <c r="C23" s="45" t="s">
        <v>77</v>
      </c>
      <c r="D23" s="143">
        <v>1.5</v>
      </c>
      <c r="E23" s="46">
        <f>IFERROR(LOOKUP(9.99E+307,T$32:T$83),7)</f>
        <v>7.25</v>
      </c>
      <c r="F23" s="46"/>
      <c r="G23" s="48">
        <f t="shared" si="6"/>
        <v>7.25</v>
      </c>
      <c r="H23" s="48">
        <f>G23/(1-CONFIGURACION!$C$6)-G23</f>
        <v>7.3232323232323537E-2</v>
      </c>
      <c r="I23" s="48">
        <f t="shared" si="1"/>
        <v>7.3232323232323235</v>
      </c>
      <c r="J23" s="89">
        <v>0.11</v>
      </c>
      <c r="K23" s="48">
        <f t="shared" si="2"/>
        <v>0.90511860174781589</v>
      </c>
      <c r="L23" s="93">
        <f t="shared" si="3"/>
        <v>8.2283509249801394</v>
      </c>
      <c r="M23" s="57">
        <f>E4*(D23+CONFIGURACION!$D$38)</f>
        <v>4.9041562500000007</v>
      </c>
      <c r="N23" s="49">
        <f t="shared" si="4"/>
        <v>13.132507174980141</v>
      </c>
      <c r="O23" s="51">
        <f t="shared" si="5"/>
        <v>8.7550047833200946</v>
      </c>
      <c r="P23" s="131">
        <f>N23+CONFIGURACION!$D$50+CONFIGURACION!$D$64</f>
        <v>15.257507174980141</v>
      </c>
      <c r="Q23" s="132">
        <f>N23+CONFIGURACION!$E$50+CONFIGURACION!$E$64</f>
        <v>14.195007174980141</v>
      </c>
      <c r="R23" s="141">
        <f>N23+CONFIGURACION!$F$50-CONFIGURACION!$F$64</f>
        <v>13.590840508313475</v>
      </c>
      <c r="S23" s="142">
        <f>N23+CONFIGURACION!$G$50-CONFIGURACION!$G$64</f>
        <v>13.476257174980141</v>
      </c>
      <c r="T23" s="132">
        <f>N23+CONFIGURACION!$H$50-CONFIGURACION!$H$64</f>
        <v>13.407507174980141</v>
      </c>
      <c r="U23" s="132">
        <f>N23+CONFIGURACION!$I$50-CONFIGURACION!$I$64</f>
        <v>13.361673841646807</v>
      </c>
      <c r="V23" s="132">
        <f>N23+CONFIGURACION!$J$50-CONFIGURACION!$J$64</f>
        <v>13.328935746408712</v>
      </c>
      <c r="W23" s="132">
        <f>N23+CONFIGURACION!$K$50-CONFIGURACION!$K$64</f>
        <v>13.304382174980141</v>
      </c>
      <c r="X23" s="132">
        <f>N23+CONFIGURACION!$L$50-CONFIGURACION!$L$64</f>
        <v>13.28528495275792</v>
      </c>
      <c r="Y23" s="132">
        <f>N23+CONFIGURACION!$M$50-CONFIGURACION!$M$64</f>
        <v>13.270007174980142</v>
      </c>
      <c r="Z23" s="132">
        <f>N23+CONFIGURACION!$N$50-CONFIGURACION!$N$64</f>
        <v>13.257507174980141</v>
      </c>
      <c r="AA23" s="132">
        <f>N23+CONFIGURACION!$O$50-CONFIGURACION!$O$64</f>
        <v>13.247090508313475</v>
      </c>
      <c r="AB23" s="133">
        <f>N23+CONFIGURACION!$P$50-CONFIGURACION!$P$64</f>
        <v>13.238276405749373</v>
      </c>
      <c r="AC23" s="134">
        <f>N23+CONFIGURACION!$Q$50-CONFIGURACION!$Q$64</f>
        <v>13.230721460694427</v>
      </c>
      <c r="AD23" s="135">
        <f>N23+CONFIGURACION!$R$50-CONFIGURACION!$R$64</f>
        <v>13.224173841646808</v>
      </c>
      <c r="AE23" s="135">
        <f>N23+CONFIGURACION!$S$50-CONFIGURACION!$S$64</f>
        <v>13.218444674980141</v>
      </c>
      <c r="AF23" s="135">
        <f>N23+CONFIGURACION!$T$50-CONFIGURACION!$T$64</f>
        <v>13.213389527921318</v>
      </c>
      <c r="AG23" s="135">
        <f>N23+CONFIGURACION!$U$50-CONFIGURACION!$U$64</f>
        <v>13.208896063869028</v>
      </c>
      <c r="AH23" s="135">
        <f>N23+CONFIGURACION!$V$50-CONFIGURACION!$V$64</f>
        <v>13.204875596032773</v>
      </c>
      <c r="AI23" s="135">
        <f>N23+CONFIGURACION!$W$50+CONFIGURACION!$W$64</f>
        <v>13.238757174980142</v>
      </c>
      <c r="AJ23" s="135">
        <f>N23+CONFIGURACION!$X$50+CONFIGURACION!$X$64</f>
        <v>13.233697651170617</v>
      </c>
      <c r="AK23" s="135">
        <f>N23+CONFIGURACION!$Y$50+CONFIGURACION!$Y$64</f>
        <v>13.229098084071051</v>
      </c>
      <c r="AL23" s="135">
        <f>N23+CONFIGURACION!$Z$50+CONFIGURACION!$Z$64</f>
        <v>13.224898479327967</v>
      </c>
      <c r="AM23" s="92"/>
      <c r="AN23" s="92"/>
    </row>
    <row r="24" spans="1:40" ht="18" customHeight="1" x14ac:dyDescent="0.2">
      <c r="B24" s="52" t="s">
        <v>78</v>
      </c>
      <c r="C24" s="53" t="s">
        <v>79</v>
      </c>
      <c r="D24" s="143">
        <v>2.5</v>
      </c>
      <c r="E24" s="54">
        <v>12.2</v>
      </c>
      <c r="F24" s="46">
        <f>CONFIGURACION!$C$5/D24</f>
        <v>0.4</v>
      </c>
      <c r="G24" s="55">
        <f t="shared" si="6"/>
        <v>12.6</v>
      </c>
      <c r="H24" s="55">
        <f>G24/(1-CONFIGURACION!$C$6)-G24</f>
        <v>0.12727272727272698</v>
      </c>
      <c r="I24" s="55">
        <f t="shared" si="1"/>
        <v>12.727272727272727</v>
      </c>
      <c r="J24" s="89">
        <v>0.1</v>
      </c>
      <c r="K24" s="55">
        <f t="shared" si="2"/>
        <v>1.4141414141414135</v>
      </c>
      <c r="L24" s="93">
        <f t="shared" si="3"/>
        <v>14.14141414141414</v>
      </c>
      <c r="M24" s="57">
        <f>E4*(D24+CONFIGURACION!$D$38)</f>
        <v>7.2541562500000003</v>
      </c>
      <c r="N24" s="56">
        <f t="shared" si="4"/>
        <v>21.39557039141414</v>
      </c>
      <c r="O24" s="58">
        <f t="shared" si="5"/>
        <v>8.5582281565656562</v>
      </c>
      <c r="P24" s="136">
        <f>N24+CONFIGURACION!$D$45+CONFIGURACION!$D$59</f>
        <v>23.52057039141414</v>
      </c>
      <c r="Q24" s="137">
        <f>N24+CONFIGURACION!$E$45+CONFIGURACION!$E$59</f>
        <v>22.45807039141414</v>
      </c>
      <c r="R24" s="141">
        <f>N24+CONFIGURACION!$F$45-CONFIGURACION!$F$59</f>
        <v>21.853903724747472</v>
      </c>
      <c r="S24" s="142">
        <f>N24+CONFIGURACION!$G$45-CONFIGURACION!$G$59</f>
        <v>21.73932039141414</v>
      </c>
      <c r="T24" s="137">
        <f>N24+CONFIGURACION!$H$45-CONFIGURACION!$H$59</f>
        <v>21.670570391414142</v>
      </c>
      <c r="U24" s="137">
        <f>N24+CONFIGURACION!$I$45-CONFIGURACION!$I$59</f>
        <v>21.624737058080807</v>
      </c>
      <c r="V24" s="137">
        <f>N24+CONFIGURACION!$J$45-CONFIGURACION!$J$59</f>
        <v>21.591998962842712</v>
      </c>
      <c r="W24" s="137">
        <f>N24+CONFIGURACION!$K$45-CONFIGURACION!$K$59</f>
        <v>21.56744539141414</v>
      </c>
      <c r="X24" s="137">
        <f>N24+CONFIGURACION!$L$45-CONFIGURACION!$L$59</f>
        <v>21.548348169191915</v>
      </c>
      <c r="Y24" s="137">
        <f>N24+CONFIGURACION!$M$45-CONFIGURACION!$M$59</f>
        <v>21.533070391414139</v>
      </c>
      <c r="Z24" s="137">
        <f>N24+CONFIGURACION!$N$45-CONFIGURACION!$N$59</f>
        <v>21.52057039141414</v>
      </c>
      <c r="AA24" s="137">
        <f>N24+CONFIGURACION!$O$45-CONFIGURACION!$O$59</f>
        <v>21.510153724747472</v>
      </c>
      <c r="AB24" s="138">
        <f>N24+CONFIGURACION!$P$45-CONFIGURACION!$P$59</f>
        <v>21.501339622183369</v>
      </c>
      <c r="AC24" s="139">
        <f>N24+CONFIGURACION!$Q$45-CONFIGURACION!$Q$59</f>
        <v>21.493784677128424</v>
      </c>
      <c r="AD24" s="140">
        <f>N24+CONFIGURACION!$R$45-CONFIGURACION!$R$59</f>
        <v>21.487237058080808</v>
      </c>
      <c r="AE24" s="140">
        <f>N24+CONFIGURACION!$S$45-CONFIGURACION!$S$59</f>
        <v>21.48150789141414</v>
      </c>
      <c r="AF24" s="140">
        <f>N24+CONFIGURACION!$T$45-CONFIGURACION!$T$59</f>
        <v>21.476452744355313</v>
      </c>
      <c r="AG24" s="140">
        <f>N24+CONFIGURACION!$U$45-CONFIGURACION!$U$59</f>
        <v>21.471959280303029</v>
      </c>
      <c r="AH24" s="140">
        <f>N24+CONFIGURACION!$V$45-CONFIGURACION!$V$59</f>
        <v>21.46793881246677</v>
      </c>
      <c r="AI24" s="140">
        <f>N24+CONFIGURACION!$W$45+CONFIGURACION!$W$59</f>
        <v>21.501820391414139</v>
      </c>
      <c r="AJ24" s="140">
        <f>N24+CONFIGURACION!$X$45+CONFIGURACION!$X$59</f>
        <v>21.496760867604614</v>
      </c>
      <c r="AK24" s="140">
        <f>N24+CONFIGURACION!$Y$45+CONFIGURACION!$Y$59</f>
        <v>21.492161300505046</v>
      </c>
      <c r="AL24" s="140">
        <f>N24+CONFIGURACION!$Z$45+CONFIGURACION!$Z$59</f>
        <v>21.487961695761964</v>
      </c>
      <c r="AM24" s="92"/>
      <c r="AN24" s="92"/>
    </row>
    <row r="25" spans="1:40" ht="18" customHeight="1" x14ac:dyDescent="0.2">
      <c r="B25" s="44" t="s">
        <v>80</v>
      </c>
      <c r="C25" s="45" t="s">
        <v>81</v>
      </c>
      <c r="D25" s="143">
        <v>4</v>
      </c>
      <c r="E25" s="46">
        <v>10.72</v>
      </c>
      <c r="F25" s="46">
        <f>CONFIGURACION!$C$5/D25</f>
        <v>0.25</v>
      </c>
      <c r="G25" s="48">
        <f t="shared" si="6"/>
        <v>10.97</v>
      </c>
      <c r="H25" s="48">
        <f>G25/(1-CONFIGURACION!$C$6)-G25</f>
        <v>0.11080808080808069</v>
      </c>
      <c r="I25" s="48">
        <f t="shared" si="1"/>
        <v>11.080808080808081</v>
      </c>
      <c r="J25" s="89">
        <v>0.11</v>
      </c>
      <c r="K25" s="48">
        <f t="shared" si="2"/>
        <v>1.3695380774032451</v>
      </c>
      <c r="L25" s="93">
        <f t="shared" si="3"/>
        <v>12.450346158211326</v>
      </c>
      <c r="M25" s="50">
        <f>E4*(D25+CONFIGURACION!$D$39)</f>
        <v>10.77915625</v>
      </c>
      <c r="N25" s="49">
        <f t="shared" si="4"/>
        <v>23.229502408211324</v>
      </c>
      <c r="O25" s="51">
        <f t="shared" si="5"/>
        <v>5.8073756020528311</v>
      </c>
      <c r="P25" s="132">
        <f>N25+CONFIGURACION!$D$47</f>
        <v>24.979502408211324</v>
      </c>
      <c r="Q25" s="132">
        <f>$N$25+CONFIGURACION!E47</f>
        <v>24.104502408211324</v>
      </c>
      <c r="R25" s="141">
        <f>$N$25+CONFIGURACION!F47-CONFIGURACION!$F$61</f>
        <v>23.687835741544657</v>
      </c>
      <c r="S25" s="142">
        <f>$N$25+CONFIGURACION!G47</f>
        <v>23.667002408211324</v>
      </c>
      <c r="T25" s="132">
        <f>$N$25+CONFIGURACION!H47</f>
        <v>23.579502408211326</v>
      </c>
      <c r="U25" s="132">
        <f>$N$25+CONFIGURACION!I47</f>
        <v>23.521169074877992</v>
      </c>
      <c r="V25" s="132">
        <f>$N$25+CONFIGURACION!J47</f>
        <v>23.479502408211324</v>
      </c>
      <c r="W25" s="132">
        <f>$N$25+CONFIGURACION!K47</f>
        <v>23.448252408211324</v>
      </c>
      <c r="X25" s="132">
        <f>$N$25+CONFIGURACION!L47</f>
        <v>23.423946852655767</v>
      </c>
      <c r="Y25" s="132">
        <f>$N$25+CONFIGURACION!M47</f>
        <v>23.404502408211325</v>
      </c>
      <c r="Z25" s="132">
        <f>$N$25+CONFIGURACION!N47</f>
        <v>23.388593317302234</v>
      </c>
      <c r="AA25" s="132">
        <f>$N$25+CONFIGURACION!O47</f>
        <v>23.375335741544657</v>
      </c>
      <c r="AB25" s="43"/>
      <c r="AC25" s="91"/>
      <c r="AD25" s="92"/>
      <c r="AE25" s="92"/>
      <c r="AF25" s="92"/>
      <c r="AG25" s="92"/>
      <c r="AH25" s="92"/>
      <c r="AI25" s="92"/>
      <c r="AJ25" s="92"/>
      <c r="AK25" s="92"/>
      <c r="AL25" s="92"/>
      <c r="AM25" s="92"/>
      <c r="AN25" s="92"/>
    </row>
    <row r="27" spans="1:40" ht="4" customHeight="1" x14ac:dyDescent="0.2">
      <c r="A27" s="155"/>
      <c r="B27" s="147"/>
      <c r="C27" s="147"/>
      <c r="D27" s="147"/>
      <c r="E27" s="147"/>
      <c r="F27" s="147"/>
      <c r="G27" s="147"/>
      <c r="H27" s="147"/>
      <c r="I27" s="147"/>
      <c r="J27" s="147"/>
      <c r="K27" s="147"/>
      <c r="L27" s="147"/>
      <c r="M27" s="147"/>
      <c r="N27" s="147"/>
      <c r="O27" s="147"/>
      <c r="P27" s="147"/>
      <c r="Q27" s="147"/>
      <c r="R27" s="147"/>
      <c r="S27" s="147"/>
      <c r="T27" s="147"/>
      <c r="U27" s="147"/>
      <c r="V27" s="147"/>
      <c r="W27" s="147"/>
      <c r="X27" s="147"/>
      <c r="Y27" s="147"/>
      <c r="Z27" s="147"/>
      <c r="AA27" s="147"/>
      <c r="AB27" s="147"/>
      <c r="AC27" s="147"/>
      <c r="AD27" s="147"/>
      <c r="AE27" s="147"/>
      <c r="AF27" s="147"/>
      <c r="AG27" s="147"/>
      <c r="AH27" s="147"/>
      <c r="AI27" s="147"/>
      <c r="AJ27" s="147"/>
      <c r="AK27" s="147"/>
      <c r="AL27" s="147"/>
      <c r="AM27" s="147"/>
      <c r="AN27" s="147"/>
    </row>
    <row r="28" spans="1:40" ht="28" customHeight="1" x14ac:dyDescent="0.2">
      <c r="B28" s="153" t="s">
        <v>82</v>
      </c>
      <c r="C28" s="147"/>
      <c r="D28" s="147"/>
      <c r="E28" s="147"/>
      <c r="F28" s="147"/>
      <c r="G28" s="147"/>
      <c r="H28" s="147"/>
      <c r="I28" s="147"/>
      <c r="J28" s="147"/>
      <c r="K28" s="147"/>
      <c r="L28" s="147"/>
      <c r="M28" s="147"/>
      <c r="N28" s="147"/>
      <c r="O28" s="147"/>
      <c r="P28" s="147"/>
      <c r="Q28" s="147"/>
      <c r="R28" s="147"/>
      <c r="S28" s="147"/>
      <c r="T28" s="147"/>
      <c r="U28" s="147"/>
      <c r="V28" s="147"/>
      <c r="W28" s="147"/>
      <c r="X28" s="147"/>
      <c r="Y28" s="147"/>
      <c r="Z28" s="147"/>
      <c r="AA28" s="147"/>
      <c r="AB28" s="147"/>
      <c r="AC28" s="147"/>
      <c r="AD28" s="147"/>
      <c r="AE28" s="147"/>
      <c r="AF28" s="147"/>
      <c r="AG28" s="147"/>
      <c r="AH28" s="147"/>
      <c r="AI28" s="147"/>
      <c r="AJ28" s="147"/>
      <c r="AK28" s="147"/>
      <c r="AL28" s="147"/>
      <c r="AM28" s="147"/>
      <c r="AN28" s="147"/>
    </row>
    <row r="29" spans="1:40" ht="4" customHeight="1" x14ac:dyDescent="0.2">
      <c r="A29" s="148" t="s">
        <v>83</v>
      </c>
      <c r="B29" s="147"/>
      <c r="C29" s="147"/>
      <c r="D29" s="147"/>
      <c r="E29" s="147"/>
      <c r="F29" s="147"/>
      <c r="G29" s="147"/>
      <c r="H29" s="147"/>
      <c r="I29" s="147"/>
      <c r="J29" s="147"/>
      <c r="K29" s="147"/>
      <c r="L29" s="147"/>
      <c r="M29" s="147"/>
      <c r="N29" s="147"/>
      <c r="O29" s="147"/>
      <c r="P29" s="147"/>
      <c r="Q29" s="147"/>
      <c r="R29" s="147"/>
      <c r="S29" s="147"/>
      <c r="T29" s="147"/>
      <c r="U29" s="147"/>
      <c r="V29" s="147"/>
    </row>
    <row r="30" spans="1:40" ht="22" customHeight="1" x14ac:dyDescent="0.2">
      <c r="A30" s="147"/>
      <c r="B30" s="147"/>
      <c r="C30" s="147"/>
      <c r="D30" s="147"/>
      <c r="E30" s="147"/>
      <c r="F30" s="147"/>
      <c r="G30" s="147"/>
      <c r="H30" s="147"/>
      <c r="I30" s="147"/>
      <c r="J30" s="147"/>
      <c r="K30" s="147"/>
      <c r="L30" s="147"/>
      <c r="M30" s="147"/>
      <c r="N30" s="147"/>
      <c r="O30" s="147"/>
      <c r="P30" s="147"/>
      <c r="Q30" s="147"/>
      <c r="R30" s="147"/>
      <c r="S30" s="147"/>
      <c r="T30" s="147"/>
      <c r="U30" s="147"/>
      <c r="V30" s="147"/>
    </row>
    <row r="31" spans="1:40" ht="30" customHeight="1" x14ac:dyDescent="0.2">
      <c r="B31" s="33" t="s">
        <v>84</v>
      </c>
      <c r="C31" s="33" t="s">
        <v>85</v>
      </c>
      <c r="D31" s="36" t="s">
        <v>86</v>
      </c>
      <c r="E31" s="37" t="s">
        <v>87</v>
      </c>
      <c r="F31" s="38" t="s">
        <v>88</v>
      </c>
      <c r="G31" s="39" t="s">
        <v>89</v>
      </c>
      <c r="H31" s="35" t="s">
        <v>90</v>
      </c>
      <c r="I31" s="40" t="s">
        <v>91</v>
      </c>
      <c r="J31" s="41" t="s">
        <v>92</v>
      </c>
      <c r="K31" s="42" t="s">
        <v>93</v>
      </c>
      <c r="L31" s="36" t="s">
        <v>94</v>
      </c>
      <c r="M31" s="37" t="s">
        <v>95</v>
      </c>
      <c r="N31" s="38" t="s">
        <v>96</v>
      </c>
      <c r="O31" s="39" t="s">
        <v>97</v>
      </c>
      <c r="P31" s="35" t="s">
        <v>98</v>
      </c>
      <c r="Q31" s="40" t="s">
        <v>99</v>
      </c>
      <c r="R31" s="41" t="s">
        <v>100</v>
      </c>
      <c r="S31" s="42" t="s">
        <v>101</v>
      </c>
      <c r="T31" s="36" t="s">
        <v>102</v>
      </c>
      <c r="U31" s="156" t="s">
        <v>103</v>
      </c>
      <c r="V31" s="147"/>
    </row>
    <row r="32" spans="1:40" ht="18" customHeight="1" x14ac:dyDescent="0.2">
      <c r="B32" s="59">
        <v>20</v>
      </c>
      <c r="C32" s="60" t="s">
        <v>104</v>
      </c>
      <c r="D32" s="61">
        <v>8.35</v>
      </c>
      <c r="E32" s="61">
        <v>6.5</v>
      </c>
      <c r="F32" s="61">
        <v>15.5</v>
      </c>
      <c r="G32" s="61">
        <v>19.190000000000001</v>
      </c>
      <c r="H32" s="61">
        <v>13.6</v>
      </c>
      <c r="I32" s="61">
        <v>7</v>
      </c>
      <c r="J32" s="61">
        <v>6.5</v>
      </c>
      <c r="K32" s="61">
        <v>13.14</v>
      </c>
      <c r="L32" s="61">
        <v>4.9000000000000004</v>
      </c>
      <c r="M32" s="61">
        <v>6</v>
      </c>
      <c r="N32" s="61">
        <v>8.6</v>
      </c>
      <c r="O32" s="61">
        <v>8.5500000000000007</v>
      </c>
      <c r="P32" s="61">
        <v>11.5</v>
      </c>
      <c r="Q32" s="61">
        <v>12</v>
      </c>
      <c r="R32" s="61">
        <v>6.5</v>
      </c>
      <c r="S32" s="61">
        <v>8.5</v>
      </c>
      <c r="T32" s="61">
        <v>7</v>
      </c>
      <c r="U32" s="152" t="s">
        <v>105</v>
      </c>
      <c r="V32" s="147"/>
    </row>
    <row r="33" spans="2:22" ht="18" customHeight="1" x14ac:dyDescent="0.2">
      <c r="B33" s="62">
        <v>21</v>
      </c>
      <c r="C33" s="63">
        <v>46160</v>
      </c>
      <c r="D33" s="144">
        <v>7.95</v>
      </c>
      <c r="E33" s="64">
        <v>6.5</v>
      </c>
      <c r="F33" s="64">
        <v>13.5</v>
      </c>
      <c r="G33" s="64"/>
      <c r="H33" s="64"/>
      <c r="I33" s="64"/>
      <c r="J33" s="64"/>
      <c r="K33" s="64"/>
      <c r="L33" s="64">
        <v>5.25</v>
      </c>
      <c r="M33" s="64"/>
      <c r="N33" s="64"/>
      <c r="O33" s="64"/>
      <c r="P33" s="64"/>
      <c r="Q33" s="64"/>
      <c r="R33" s="64">
        <v>6.7</v>
      </c>
      <c r="S33" s="64"/>
      <c r="T33" s="64">
        <v>7.25</v>
      </c>
      <c r="U33" s="149"/>
      <c r="V33" s="150"/>
    </row>
    <row r="34" spans="2:22" ht="18" customHeight="1" x14ac:dyDescent="0.2">
      <c r="B34" s="65" t="str">
        <f>IF(C34="","",ROWS($C$33:C34))</f>
        <v/>
      </c>
      <c r="C34" s="66"/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149"/>
      <c r="V34" s="150"/>
    </row>
    <row r="35" spans="2:22" ht="18" customHeight="1" x14ac:dyDescent="0.2">
      <c r="B35" s="62" t="str">
        <f>IF(C35="","",ROWS($C$33:C35))</f>
        <v/>
      </c>
      <c r="C35" s="63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149"/>
      <c r="V35" s="150"/>
    </row>
    <row r="36" spans="2:22" ht="18" customHeight="1" x14ac:dyDescent="0.2">
      <c r="B36" s="65" t="str">
        <f>IF(C36="","",ROWS($C$33:C36))</f>
        <v/>
      </c>
      <c r="C36" s="66"/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149"/>
      <c r="V36" s="150"/>
    </row>
    <row r="37" spans="2:22" ht="18" customHeight="1" x14ac:dyDescent="0.2">
      <c r="B37" s="62" t="str">
        <f>IF(C37="","",ROWS($C$33:C37))</f>
        <v/>
      </c>
      <c r="C37" s="63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149"/>
      <c r="V37" s="150"/>
    </row>
    <row r="38" spans="2:22" ht="18" customHeight="1" x14ac:dyDescent="0.2">
      <c r="B38" s="65" t="str">
        <f>IF(C38="","",ROWS($C$33:C38))</f>
        <v/>
      </c>
      <c r="C38" s="66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149"/>
      <c r="V38" s="150"/>
    </row>
    <row r="39" spans="2:22" ht="18" customHeight="1" x14ac:dyDescent="0.2">
      <c r="B39" s="62" t="str">
        <f>IF(C39="","",ROWS($C$33:C39))</f>
        <v/>
      </c>
      <c r="C39" s="63"/>
      <c r="D39" s="64"/>
      <c r="E39" s="64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149"/>
      <c r="V39" s="150"/>
    </row>
    <row r="40" spans="2:22" ht="18" customHeight="1" x14ac:dyDescent="0.2">
      <c r="B40" s="65" t="str">
        <f>IF(C40="","",ROWS($C$33:C40))</f>
        <v/>
      </c>
      <c r="C40" s="66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149"/>
      <c r="V40" s="150"/>
    </row>
    <row r="41" spans="2:22" ht="18" customHeight="1" x14ac:dyDescent="0.2">
      <c r="B41" s="62" t="str">
        <f>IF(C41="","",ROWS($C$33:C41))</f>
        <v/>
      </c>
      <c r="C41" s="63"/>
      <c r="D41" s="64"/>
      <c r="E41" s="64"/>
      <c r="F41" s="64"/>
      <c r="G41" s="64"/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149"/>
      <c r="V41" s="150"/>
    </row>
    <row r="42" spans="2:22" ht="18" customHeight="1" x14ac:dyDescent="0.2">
      <c r="B42" s="65" t="str">
        <f>IF(C42="","",ROWS($C$33:C42))</f>
        <v/>
      </c>
      <c r="C42" s="66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149"/>
      <c r="V42" s="150"/>
    </row>
    <row r="43" spans="2:22" ht="18" customHeight="1" x14ac:dyDescent="0.2">
      <c r="B43" s="62" t="str">
        <f>IF(C43="","",ROWS($C$33:C43))</f>
        <v/>
      </c>
      <c r="C43" s="63"/>
      <c r="D43" s="64"/>
      <c r="E43" s="64"/>
      <c r="F43" s="64"/>
      <c r="G43" s="64"/>
      <c r="H43" s="64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149"/>
      <c r="V43" s="150"/>
    </row>
    <row r="44" spans="2:22" ht="18" customHeight="1" x14ac:dyDescent="0.2">
      <c r="B44" s="65" t="str">
        <f>IF(C44="","",ROWS($C$33:C44))</f>
        <v/>
      </c>
      <c r="C44" s="66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149"/>
      <c r="V44" s="150"/>
    </row>
    <row r="45" spans="2:22" ht="18" customHeight="1" x14ac:dyDescent="0.2">
      <c r="B45" s="62" t="str">
        <f>IF(C45="","",ROWS($C$33:C45))</f>
        <v/>
      </c>
      <c r="C45" s="63"/>
      <c r="D45" s="64"/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149"/>
      <c r="V45" s="150"/>
    </row>
    <row r="46" spans="2:22" ht="18" customHeight="1" x14ac:dyDescent="0.2">
      <c r="B46" s="65" t="str">
        <f>IF(C46="","",ROWS($C$33:C46))</f>
        <v/>
      </c>
      <c r="C46" s="66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149"/>
      <c r="V46" s="150"/>
    </row>
    <row r="47" spans="2:22" ht="18" customHeight="1" x14ac:dyDescent="0.2">
      <c r="B47" s="62" t="str">
        <f>IF(C47="","",ROWS($C$33:C47))</f>
        <v/>
      </c>
      <c r="C47" s="63"/>
      <c r="D47" s="64"/>
      <c r="E47" s="64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149"/>
      <c r="V47" s="150"/>
    </row>
    <row r="48" spans="2:22" ht="18" customHeight="1" x14ac:dyDescent="0.2">
      <c r="B48" s="65" t="str">
        <f>IF(C48="","",ROWS($C$33:C48))</f>
        <v/>
      </c>
      <c r="C48" s="66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149"/>
      <c r="V48" s="150"/>
    </row>
    <row r="49" spans="2:22" ht="18" customHeight="1" x14ac:dyDescent="0.2">
      <c r="B49" s="62" t="str">
        <f>IF(C49="","",ROWS($C$33:C49))</f>
        <v/>
      </c>
      <c r="C49" s="63"/>
      <c r="D49" s="64"/>
      <c r="E49" s="64"/>
      <c r="F49" s="64"/>
      <c r="G49" s="64"/>
      <c r="H49" s="64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149"/>
      <c r="V49" s="150"/>
    </row>
    <row r="50" spans="2:22" ht="18" customHeight="1" x14ac:dyDescent="0.2">
      <c r="B50" s="65" t="str">
        <f>IF(C50="","",ROWS($C$33:C50))</f>
        <v/>
      </c>
      <c r="C50" s="66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149"/>
      <c r="V50" s="150"/>
    </row>
    <row r="51" spans="2:22" ht="18" customHeight="1" x14ac:dyDescent="0.2">
      <c r="B51" s="62" t="str">
        <f>IF(C51="","",ROWS($C$33:C51))</f>
        <v/>
      </c>
      <c r="C51" s="63"/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149"/>
      <c r="V51" s="150"/>
    </row>
    <row r="52" spans="2:22" ht="18" customHeight="1" x14ac:dyDescent="0.2">
      <c r="B52" s="65" t="str">
        <f>IF(C52="","",ROWS($C$33:C52))</f>
        <v/>
      </c>
      <c r="C52" s="66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149"/>
      <c r="V52" s="150"/>
    </row>
    <row r="53" spans="2:22" ht="18" customHeight="1" x14ac:dyDescent="0.2">
      <c r="B53" s="62" t="str">
        <f>IF(C53="","",ROWS($C$33:C53))</f>
        <v/>
      </c>
      <c r="C53" s="63"/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149"/>
      <c r="V53" s="150"/>
    </row>
    <row r="54" spans="2:22" ht="18" customHeight="1" x14ac:dyDescent="0.2">
      <c r="B54" s="65" t="str">
        <f>IF(C54="","",ROWS($C$33:C54))</f>
        <v/>
      </c>
      <c r="C54" s="66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149"/>
      <c r="V54" s="150"/>
    </row>
    <row r="55" spans="2:22" ht="18" customHeight="1" x14ac:dyDescent="0.2">
      <c r="B55" s="62" t="str">
        <f>IF(C55="","",ROWS($C$33:C55))</f>
        <v/>
      </c>
      <c r="C55" s="63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149"/>
      <c r="V55" s="150"/>
    </row>
    <row r="56" spans="2:22" ht="18" customHeight="1" x14ac:dyDescent="0.2">
      <c r="B56" s="65" t="str">
        <f>IF(C56="","",ROWS($C$33:C56))</f>
        <v/>
      </c>
      <c r="C56" s="66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149"/>
      <c r="V56" s="150"/>
    </row>
    <row r="57" spans="2:22" ht="18" customHeight="1" x14ac:dyDescent="0.2">
      <c r="B57" s="62" t="str">
        <f>IF(C57="","",ROWS($C$33:C57))</f>
        <v/>
      </c>
      <c r="C57" s="63"/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149"/>
      <c r="V57" s="150"/>
    </row>
    <row r="58" spans="2:22" ht="18" customHeight="1" x14ac:dyDescent="0.2">
      <c r="B58" s="65" t="str">
        <f>IF(C58="","",ROWS($C$33:C58))</f>
        <v/>
      </c>
      <c r="C58" s="66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149"/>
      <c r="V58" s="150"/>
    </row>
    <row r="59" spans="2:22" ht="18" customHeight="1" x14ac:dyDescent="0.2">
      <c r="B59" s="62" t="str">
        <f>IF(C59="","",ROWS($C$33:C59))</f>
        <v/>
      </c>
      <c r="C59" s="63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149"/>
      <c r="V59" s="150"/>
    </row>
    <row r="60" spans="2:22" ht="18" customHeight="1" x14ac:dyDescent="0.2">
      <c r="B60" s="65" t="str">
        <f>IF(C60="","",ROWS($C$33:C60))</f>
        <v/>
      </c>
      <c r="C60" s="66"/>
      <c r="D60" s="67"/>
      <c r="E60" s="67"/>
      <c r="F60" s="67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149"/>
      <c r="V60" s="150"/>
    </row>
    <row r="61" spans="2:22" ht="18" customHeight="1" x14ac:dyDescent="0.2">
      <c r="B61" s="62" t="str">
        <f>IF(C61="","",ROWS($C$33:C61))</f>
        <v/>
      </c>
      <c r="C61" s="63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149"/>
      <c r="V61" s="150"/>
    </row>
    <row r="62" spans="2:22" ht="18" customHeight="1" x14ac:dyDescent="0.2">
      <c r="B62" s="65" t="str">
        <f>IF(C62="","",ROWS($C$33:C62))</f>
        <v/>
      </c>
      <c r="C62" s="66"/>
      <c r="D62" s="67"/>
      <c r="E62" s="67"/>
      <c r="F62" s="67"/>
      <c r="G62" s="67"/>
      <c r="H62" s="67"/>
      <c r="I62" s="67"/>
      <c r="J62" s="67"/>
      <c r="K62" s="67"/>
      <c r="L62" s="67"/>
      <c r="M62" s="67"/>
      <c r="N62" s="67"/>
      <c r="O62" s="67"/>
      <c r="P62" s="67"/>
      <c r="Q62" s="67"/>
      <c r="R62" s="67"/>
      <c r="S62" s="67"/>
      <c r="T62" s="67"/>
      <c r="U62" s="149"/>
      <c r="V62" s="150"/>
    </row>
    <row r="63" spans="2:22" ht="18" customHeight="1" x14ac:dyDescent="0.2">
      <c r="B63" s="62" t="str">
        <f>IF(C63="","",ROWS($C$33:C63))</f>
        <v/>
      </c>
      <c r="C63" s="63"/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149"/>
      <c r="V63" s="150"/>
    </row>
    <row r="64" spans="2:22" ht="18" customHeight="1" x14ac:dyDescent="0.2">
      <c r="B64" s="65" t="str">
        <f>IF(C64="","",ROWS($C$33:C64))</f>
        <v/>
      </c>
      <c r="C64" s="66"/>
      <c r="D64" s="67"/>
      <c r="E64" s="67"/>
      <c r="F64" s="67"/>
      <c r="G64" s="67"/>
      <c r="H64" s="67"/>
      <c r="I64" s="67"/>
      <c r="J64" s="67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149"/>
      <c r="V64" s="150"/>
    </row>
    <row r="65" spans="2:22" ht="18" customHeight="1" x14ac:dyDescent="0.2">
      <c r="B65" s="62" t="str">
        <f>IF(C65="","",ROWS($C$33:C65))</f>
        <v/>
      </c>
      <c r="C65" s="63"/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149"/>
      <c r="V65" s="150"/>
    </row>
    <row r="66" spans="2:22" ht="18" customHeight="1" x14ac:dyDescent="0.2">
      <c r="B66" s="65" t="str">
        <f>IF(C66="","",ROWS($C$33:C66))</f>
        <v/>
      </c>
      <c r="C66" s="66"/>
      <c r="D66" s="67"/>
      <c r="E66" s="67"/>
      <c r="F66" s="67"/>
      <c r="G66" s="67"/>
      <c r="H66" s="67"/>
      <c r="I66" s="67"/>
      <c r="J66" s="67"/>
      <c r="K66" s="67"/>
      <c r="L66" s="67"/>
      <c r="M66" s="67"/>
      <c r="N66" s="67"/>
      <c r="O66" s="67"/>
      <c r="P66" s="67"/>
      <c r="Q66" s="67"/>
      <c r="R66" s="67"/>
      <c r="S66" s="67"/>
      <c r="T66" s="67"/>
      <c r="U66" s="149"/>
      <c r="V66" s="150"/>
    </row>
    <row r="67" spans="2:22" ht="18" customHeight="1" x14ac:dyDescent="0.2">
      <c r="B67" s="62" t="str">
        <f>IF(C67="","",ROWS($C$33:C67))</f>
        <v/>
      </c>
      <c r="C67" s="63"/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149"/>
      <c r="V67" s="150"/>
    </row>
    <row r="68" spans="2:22" ht="18" customHeight="1" x14ac:dyDescent="0.2">
      <c r="B68" s="65" t="str">
        <f>IF(C68="","",ROWS($C$33:C68))</f>
        <v/>
      </c>
      <c r="C68" s="66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149"/>
      <c r="V68" s="150"/>
    </row>
    <row r="69" spans="2:22" ht="18" customHeight="1" x14ac:dyDescent="0.2">
      <c r="B69" s="62" t="str">
        <f>IF(C69="","",ROWS($C$33:C69))</f>
        <v/>
      </c>
      <c r="C69" s="63"/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149"/>
      <c r="V69" s="150"/>
    </row>
    <row r="70" spans="2:22" ht="18" customHeight="1" x14ac:dyDescent="0.2">
      <c r="B70" s="65" t="str">
        <f>IF(C70="","",ROWS($C$33:C70))</f>
        <v/>
      </c>
      <c r="C70" s="66"/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149"/>
      <c r="V70" s="150"/>
    </row>
    <row r="71" spans="2:22" ht="18" customHeight="1" x14ac:dyDescent="0.2">
      <c r="B71" s="62" t="str">
        <f>IF(C71="","",ROWS($C$33:C71))</f>
        <v/>
      </c>
      <c r="C71" s="63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149"/>
      <c r="V71" s="150"/>
    </row>
    <row r="72" spans="2:22" ht="18" customHeight="1" x14ac:dyDescent="0.2">
      <c r="B72" s="65" t="str">
        <f>IF(C72="","",ROWS($C$33:C72))</f>
        <v/>
      </c>
      <c r="C72" s="66"/>
      <c r="D72" s="67"/>
      <c r="E72" s="67"/>
      <c r="F72" s="67"/>
      <c r="G72" s="67"/>
      <c r="H72" s="67"/>
      <c r="I72" s="67"/>
      <c r="J72" s="67"/>
      <c r="K72" s="67"/>
      <c r="L72" s="67"/>
      <c r="M72" s="67"/>
      <c r="N72" s="67"/>
      <c r="O72" s="67"/>
      <c r="P72" s="67"/>
      <c r="Q72" s="67"/>
      <c r="R72" s="67"/>
      <c r="S72" s="67"/>
      <c r="T72" s="67"/>
      <c r="U72" s="149"/>
      <c r="V72" s="150"/>
    </row>
    <row r="73" spans="2:22" ht="18" customHeight="1" x14ac:dyDescent="0.2">
      <c r="B73" s="62" t="str">
        <f>IF(C73="","",ROWS($C$33:C73))</f>
        <v/>
      </c>
      <c r="C73" s="63"/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149"/>
      <c r="V73" s="150"/>
    </row>
    <row r="74" spans="2:22" ht="18" customHeight="1" x14ac:dyDescent="0.2">
      <c r="B74" s="65" t="str">
        <f>IF(C74="","",ROWS($C$33:C74))</f>
        <v/>
      </c>
      <c r="C74" s="66"/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67"/>
      <c r="O74" s="67"/>
      <c r="P74" s="67"/>
      <c r="Q74" s="67"/>
      <c r="R74" s="67"/>
      <c r="S74" s="67"/>
      <c r="T74" s="67"/>
      <c r="U74" s="149"/>
      <c r="V74" s="150"/>
    </row>
    <row r="75" spans="2:22" ht="18" customHeight="1" x14ac:dyDescent="0.2">
      <c r="B75" s="62" t="str">
        <f>IF(C75="","",ROWS($C$33:C75))</f>
        <v/>
      </c>
      <c r="C75" s="63"/>
      <c r="D75" s="64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149"/>
      <c r="V75" s="150"/>
    </row>
    <row r="76" spans="2:22" ht="18" customHeight="1" x14ac:dyDescent="0.2">
      <c r="B76" s="65" t="str">
        <f>IF(C76="","",ROWS($C$33:C76))</f>
        <v/>
      </c>
      <c r="C76" s="66"/>
      <c r="D76" s="67"/>
      <c r="E76" s="67"/>
      <c r="F76" s="67"/>
      <c r="G76" s="67"/>
      <c r="H76" s="67"/>
      <c r="I76" s="67"/>
      <c r="J76" s="67"/>
      <c r="K76" s="67"/>
      <c r="L76" s="67"/>
      <c r="M76" s="67"/>
      <c r="N76" s="67"/>
      <c r="O76" s="67"/>
      <c r="P76" s="67"/>
      <c r="Q76" s="67"/>
      <c r="R76" s="67"/>
      <c r="S76" s="67"/>
      <c r="T76" s="67"/>
      <c r="U76" s="149"/>
      <c r="V76" s="150"/>
    </row>
    <row r="77" spans="2:22" ht="18" customHeight="1" x14ac:dyDescent="0.2">
      <c r="B77" s="62" t="str">
        <f>IF(C77="","",ROWS($C$33:C77))</f>
        <v/>
      </c>
      <c r="C77" s="63"/>
      <c r="D77" s="64"/>
      <c r="E77" s="64"/>
      <c r="F77" s="64"/>
      <c r="G77" s="64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149"/>
      <c r="V77" s="150"/>
    </row>
    <row r="78" spans="2:22" ht="18" customHeight="1" x14ac:dyDescent="0.2">
      <c r="B78" s="65" t="str">
        <f>IF(C78="","",ROWS($C$33:C78))</f>
        <v/>
      </c>
      <c r="C78" s="66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  <c r="O78" s="67"/>
      <c r="P78" s="67"/>
      <c r="Q78" s="67"/>
      <c r="R78" s="67"/>
      <c r="S78" s="67"/>
      <c r="T78" s="67"/>
      <c r="U78" s="149"/>
      <c r="V78" s="150"/>
    </row>
    <row r="79" spans="2:22" ht="18" customHeight="1" x14ac:dyDescent="0.2">
      <c r="B79" s="62" t="str">
        <f>IF(C79="","",ROWS($C$33:C79))</f>
        <v/>
      </c>
      <c r="C79" s="63"/>
      <c r="D79" s="64"/>
      <c r="E79" s="64"/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149"/>
      <c r="V79" s="150"/>
    </row>
    <row r="80" spans="2:22" ht="18" customHeight="1" x14ac:dyDescent="0.2">
      <c r="B80" s="65" t="str">
        <f>IF(C80="","",ROWS($C$33:C80))</f>
        <v/>
      </c>
      <c r="C80" s="66"/>
      <c r="D80" s="67"/>
      <c r="E80" s="67"/>
      <c r="F80" s="67"/>
      <c r="G80" s="67"/>
      <c r="H80" s="67"/>
      <c r="I80" s="67"/>
      <c r="J80" s="67"/>
      <c r="K80" s="67"/>
      <c r="L80" s="67"/>
      <c r="M80" s="67"/>
      <c r="N80" s="67"/>
      <c r="O80" s="67"/>
      <c r="P80" s="67"/>
      <c r="Q80" s="67"/>
      <c r="R80" s="67"/>
      <c r="S80" s="67"/>
      <c r="T80" s="67"/>
      <c r="U80" s="149"/>
      <c r="V80" s="150"/>
    </row>
    <row r="81" spans="2:22" ht="18" customHeight="1" x14ac:dyDescent="0.2">
      <c r="B81" s="62" t="str">
        <f>IF(C81="","",ROWS($C$33:C81))</f>
        <v/>
      </c>
      <c r="C81" s="63"/>
      <c r="D81" s="64"/>
      <c r="E81" s="64"/>
      <c r="F81" s="64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149"/>
      <c r="V81" s="150"/>
    </row>
    <row r="82" spans="2:22" ht="18" customHeight="1" x14ac:dyDescent="0.2">
      <c r="B82" s="65" t="str">
        <f>IF(C82="","",ROWS($C$33:C82))</f>
        <v/>
      </c>
      <c r="C82" s="66"/>
      <c r="D82" s="67"/>
      <c r="E82" s="67"/>
      <c r="F82" s="67"/>
      <c r="G82" s="67"/>
      <c r="H82" s="67"/>
      <c r="I82" s="67"/>
      <c r="J82" s="67"/>
      <c r="K82" s="67"/>
      <c r="L82" s="67"/>
      <c r="M82" s="67"/>
      <c r="N82" s="67"/>
      <c r="O82" s="67"/>
      <c r="P82" s="67"/>
      <c r="Q82" s="67"/>
      <c r="R82" s="67"/>
      <c r="S82" s="67"/>
      <c r="T82" s="67"/>
      <c r="U82" s="149"/>
      <c r="V82" s="150"/>
    </row>
    <row r="83" spans="2:22" ht="18" customHeight="1" x14ac:dyDescent="0.2">
      <c r="B83" s="62" t="str">
        <f>IF(C83="","",ROWS($C$33:C83))</f>
        <v/>
      </c>
      <c r="C83" s="63"/>
      <c r="D83" s="64"/>
      <c r="E83" s="64"/>
      <c r="F83" s="64"/>
      <c r="G83" s="64"/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149"/>
      <c r="V83" s="150"/>
    </row>
    <row r="85" spans="2:22" ht="18" customHeight="1" x14ac:dyDescent="0.2">
      <c r="B85" s="151" t="s">
        <v>106</v>
      </c>
      <c r="C85" s="147"/>
      <c r="D85" s="147"/>
      <c r="E85" s="147"/>
      <c r="F85" s="147"/>
      <c r="G85" s="147"/>
      <c r="H85" s="147"/>
      <c r="I85" s="147"/>
      <c r="J85" s="147"/>
      <c r="K85" s="147"/>
      <c r="L85" s="147"/>
      <c r="M85" s="147"/>
      <c r="N85" s="147"/>
      <c r="O85" s="147"/>
      <c r="P85" s="147"/>
      <c r="Q85" s="147"/>
      <c r="R85" s="147"/>
      <c r="S85" s="147"/>
      <c r="T85" s="147"/>
      <c r="U85" s="147"/>
    </row>
  </sheetData>
  <mergeCells count="61">
    <mergeCell ref="A3:AN3"/>
    <mergeCell ref="U69:V69"/>
    <mergeCell ref="U34:V34"/>
    <mergeCell ref="U40:V40"/>
    <mergeCell ref="U35:V35"/>
    <mergeCell ref="A27:AN27"/>
    <mergeCell ref="A2:AN2"/>
    <mergeCell ref="U59:V59"/>
    <mergeCell ref="U81:V81"/>
    <mergeCell ref="U49:V49"/>
    <mergeCell ref="U46:V46"/>
    <mergeCell ref="A5:AN5"/>
    <mergeCell ref="U74:V74"/>
    <mergeCell ref="U36:V36"/>
    <mergeCell ref="U80:V80"/>
    <mergeCell ref="U65:V65"/>
    <mergeCell ref="U45:V45"/>
    <mergeCell ref="U61:V61"/>
    <mergeCell ref="U77:V77"/>
    <mergeCell ref="U70:V70"/>
    <mergeCell ref="U48:V48"/>
    <mergeCell ref="U31:V31"/>
    <mergeCell ref="U32:V32"/>
    <mergeCell ref="U41:V41"/>
    <mergeCell ref="U66:V66"/>
    <mergeCell ref="B28:AN28"/>
    <mergeCell ref="U37:V37"/>
    <mergeCell ref="U57:V57"/>
    <mergeCell ref="U53:V53"/>
    <mergeCell ref="U47:V47"/>
    <mergeCell ref="U44:V44"/>
    <mergeCell ref="U56:V56"/>
    <mergeCell ref="U43:V43"/>
    <mergeCell ref="U33:V33"/>
    <mergeCell ref="U71:V71"/>
    <mergeCell ref="B85:U85"/>
    <mergeCell ref="U62:V62"/>
    <mergeCell ref="U42:V42"/>
    <mergeCell ref="U58:V58"/>
    <mergeCell ref="U52:V52"/>
    <mergeCell ref="U76:V76"/>
    <mergeCell ref="U75:V75"/>
    <mergeCell ref="U72:V72"/>
    <mergeCell ref="U68:V68"/>
    <mergeCell ref="U78:V78"/>
    <mergeCell ref="A1:AN1"/>
    <mergeCell ref="A29:V30"/>
    <mergeCell ref="U39:V39"/>
    <mergeCell ref="U83:V83"/>
    <mergeCell ref="U54:V54"/>
    <mergeCell ref="U55:V55"/>
    <mergeCell ref="U73:V73"/>
    <mergeCell ref="U64:V64"/>
    <mergeCell ref="U82:V82"/>
    <mergeCell ref="U67:V67"/>
    <mergeCell ref="U51:V51"/>
    <mergeCell ref="U38:V38"/>
    <mergeCell ref="U63:V63"/>
    <mergeCell ref="U50:V50"/>
    <mergeCell ref="U79:V79"/>
    <mergeCell ref="U60:V60"/>
  </mergeCells>
  <dataValidations count="1">
    <dataValidation type="list" showErrorMessage="1" errorTitle="Destino inválido" error="Seleccione un destino de la lista" sqref="C4" xr:uid="{00000000-0002-0000-0100-000000000000}">
      <formula1>"Madrid/España,París/Francia,Londres/UK,Suiza,Países Bajos,Dubai/EAU,Nueva York/USA,Miami/USA,Francia (otros)"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23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R31" sqref="R31"/>
    </sheetView>
  </sheetViews>
  <sheetFormatPr baseColWidth="10" defaultColWidth="8.83203125" defaultRowHeight="15" x14ac:dyDescent="0.2"/>
  <cols>
    <col min="1" max="1" width="2" customWidth="1"/>
    <col min="2" max="2" width="11" customWidth="1"/>
    <col min="3" max="3" width="21" customWidth="1"/>
    <col min="4" max="4" width="6" customWidth="1"/>
    <col min="5" max="11" width="10" customWidth="1"/>
    <col min="12" max="12" width="13.6640625" bestFit="1" customWidth="1"/>
    <col min="13" max="31" width="10" customWidth="1"/>
  </cols>
  <sheetData>
    <row r="1" spans="1:31" ht="28" customHeight="1" x14ac:dyDescent="0.2">
      <c r="A1" s="158" t="s">
        <v>203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</row>
    <row r="2" spans="1:31" ht="28" customHeight="1" x14ac:dyDescent="0.2">
      <c r="B2" s="166" t="s">
        <v>204</v>
      </c>
      <c r="C2" s="147"/>
      <c r="D2" s="147"/>
      <c r="E2" s="147"/>
      <c r="F2" s="147"/>
      <c r="G2" s="147"/>
      <c r="H2" s="147"/>
      <c r="I2" s="147"/>
      <c r="K2" s="68" t="s">
        <v>205</v>
      </c>
      <c r="L2" s="69">
        <v>1</v>
      </c>
      <c r="M2" s="170" t="s">
        <v>206</v>
      </c>
      <c r="N2" s="147"/>
      <c r="O2" s="147"/>
      <c r="P2" s="147"/>
    </row>
    <row r="3" spans="1:31" ht="20" customHeight="1" x14ac:dyDescent="0.2">
      <c r="B3" s="70" t="s">
        <v>7</v>
      </c>
      <c r="C3" s="70" t="s">
        <v>8</v>
      </c>
      <c r="D3" s="70" t="s">
        <v>207</v>
      </c>
      <c r="E3" s="171" t="s">
        <v>135</v>
      </c>
      <c r="F3" s="147"/>
      <c r="G3" s="147"/>
      <c r="H3" s="173" t="s">
        <v>3</v>
      </c>
      <c r="I3" s="147"/>
      <c r="J3" s="147"/>
      <c r="K3" s="172" t="s">
        <v>137</v>
      </c>
      <c r="L3" s="147"/>
      <c r="M3" s="147"/>
      <c r="N3" s="175" t="s">
        <v>138</v>
      </c>
      <c r="O3" s="147"/>
      <c r="P3" s="147"/>
      <c r="Q3" s="176" t="s">
        <v>139</v>
      </c>
      <c r="R3" s="147"/>
      <c r="S3" s="147"/>
      <c r="T3" s="168" t="s">
        <v>140</v>
      </c>
      <c r="U3" s="147"/>
      <c r="V3" s="147"/>
      <c r="W3" s="167" t="s">
        <v>141</v>
      </c>
      <c r="X3" s="147"/>
      <c r="Y3" s="147"/>
      <c r="Z3" s="174" t="s">
        <v>142</v>
      </c>
      <c r="AA3" s="147"/>
      <c r="AB3" s="147"/>
      <c r="AC3" s="169" t="s">
        <v>208</v>
      </c>
      <c r="AD3" s="147"/>
      <c r="AE3" s="147"/>
    </row>
    <row r="4" spans="1:31" ht="18" customHeight="1" x14ac:dyDescent="0.2">
      <c r="B4" s="71" t="s">
        <v>7</v>
      </c>
      <c r="C4" s="71" t="s">
        <v>8</v>
      </c>
      <c r="D4" s="71" t="s">
        <v>207</v>
      </c>
      <c r="E4" s="72" t="s">
        <v>209</v>
      </c>
      <c r="F4" s="72" t="str">
        <f>TEXT($L$2,"0")&amp;" Pal $"</f>
        <v>1 Pal $</v>
      </c>
      <c r="G4" s="72" t="str">
        <f>TEXT($L$2,"0")&amp;" Pal €"</f>
        <v>1 Pal €</v>
      </c>
      <c r="H4" s="73" t="s">
        <v>209</v>
      </c>
      <c r="I4" s="73" t="str">
        <f>TEXT($L$2,"0")&amp;" Pal $"</f>
        <v>1 Pal $</v>
      </c>
      <c r="J4" s="73" t="str">
        <f>TEXT($L$2,"0")&amp;" Pal €"</f>
        <v>1 Pal €</v>
      </c>
      <c r="K4" s="74" t="s">
        <v>209</v>
      </c>
      <c r="L4" s="74" t="str">
        <f>TEXT($L$2,"0")&amp;" Pal $"</f>
        <v>1 Pal $</v>
      </c>
      <c r="M4" s="74" t="str">
        <f>TEXT($L$2,"0")&amp;" Pal €"</f>
        <v>1 Pal €</v>
      </c>
      <c r="N4" s="75" t="s">
        <v>209</v>
      </c>
      <c r="O4" s="75" t="str">
        <f>TEXT($L$2,"0")&amp;" Pal $"</f>
        <v>1 Pal $</v>
      </c>
      <c r="P4" s="75" t="str">
        <f>TEXT($L$2,"0")&amp;" Pal €"</f>
        <v>1 Pal €</v>
      </c>
      <c r="Q4" s="76" t="s">
        <v>209</v>
      </c>
      <c r="R4" s="76" t="str">
        <f>TEXT($L$2,"0")&amp;" Pal $"</f>
        <v>1 Pal $</v>
      </c>
      <c r="S4" s="76" t="str">
        <f>TEXT($L$2,"0")&amp;" Pal €"</f>
        <v>1 Pal €</v>
      </c>
      <c r="T4" s="77" t="s">
        <v>209</v>
      </c>
      <c r="U4" s="77" t="str">
        <f>TEXT($L$2,"0")&amp;" Pal $"</f>
        <v>1 Pal $</v>
      </c>
      <c r="V4" s="77" t="str">
        <f>TEXT($L$2,"0")&amp;" Pal €"</f>
        <v>1 Pal €</v>
      </c>
      <c r="W4" s="78" t="s">
        <v>209</v>
      </c>
      <c r="X4" s="78" t="str">
        <f>TEXT($L$2,"0")&amp;" Pal $"</f>
        <v>1 Pal $</v>
      </c>
      <c r="Y4" s="78" t="str">
        <f>TEXT($L$2,"0")&amp;" Pal €"</f>
        <v>1 Pal €</v>
      </c>
      <c r="Z4" s="79" t="s">
        <v>209</v>
      </c>
      <c r="AA4" s="79" t="str">
        <f>TEXT($L$2,"0")&amp;" Pal $"</f>
        <v>1 Pal $</v>
      </c>
      <c r="AB4" s="79" t="str">
        <f>TEXT($L$2,"0")&amp;" Pal €"</f>
        <v>1 Pal €</v>
      </c>
      <c r="AC4" s="80" t="s">
        <v>209</v>
      </c>
      <c r="AD4" s="80" t="str">
        <f>TEXT($L$2,"0")&amp;" Pal $"</f>
        <v>1 Pal $</v>
      </c>
      <c r="AE4" s="80" t="str">
        <f>TEXT($L$2,"0")&amp;" Pal €"</f>
        <v>1 Pal €</v>
      </c>
    </row>
    <row r="5" spans="1:31" ht="17" customHeight="1" x14ac:dyDescent="0.2">
      <c r="B5" s="81" t="s">
        <v>44</v>
      </c>
      <c r="C5" s="17" t="s">
        <v>45</v>
      </c>
      <c r="D5" s="82">
        <v>2</v>
      </c>
      <c r="E5" s="83">
        <f>'TABLA PRECIOS'!$L$7+CONFIGURACION!$C$19*('TABLA PRECIOS'!$D$7+CONFIGURACION!$D$32)</f>
        <v>15.035385206228957</v>
      </c>
      <c r="F5" s="84">
        <f>'TABLA PRECIOS'!$L$7+CONFIGURACION!$C$19*('TABLA PRECIOS'!$D$7+CONFIGURACION!$D$32)+IF($L$2=1,CONFIGURACION!$C$7/CONFIGURACION!$C$32,-CONFIGURACION!$C$7/($L$2*CONFIGURACION!$C$32)-CONFIGURACION!$C$55/($L$2*CONFIGURACION!$C$32))</f>
        <v>16.785385206228959</v>
      </c>
      <c r="G5" s="85">
        <f ca="1">('TABLA PRECIOS'!$L$7+CONFIGURACION!$C$19*('TABLA PRECIOS'!$D$7+CONFIGURACION!$D$32)+IF($L$2=1,CONFIGURACION!$C$7/CONFIGURACION!$C$32,-CONFIGURACION!$C$7/($L$2*CONFIGURACION!$C$32)-CONFIGURACION!$C$55/($L$2*CONFIGURACION!$C$32)))/CONFIGURACION!$C$12+IF($L$2=1,0,-CONFIGURACION!$C$55/($L$2*CONFIGURACION!$C$32))</f>
        <v>14.420434025969897</v>
      </c>
      <c r="H5" s="83">
        <f>'TABLA PRECIOS'!$L$7+CONFIGURACION!$C$20*('TABLA PRECIOS'!$D$7+CONFIGURACION!$D$32)</f>
        <v>16.328822706228955</v>
      </c>
      <c r="I5" s="84">
        <f>'TABLA PRECIOS'!$L$7+CONFIGURACION!$C$20*('TABLA PRECIOS'!$D$7+CONFIGURACION!$D$32)+IF($L$2=1,CONFIGURACION!$C$7/CONFIGURACION!$C$32,-CONFIGURACION!$C$7/($L$2*CONFIGURACION!$C$32)-CONFIGURACION!$C$55/($L$2*CONFIGURACION!$C$32))</f>
        <v>18.078822706228955</v>
      </c>
      <c r="J5" s="85">
        <f ca="1">('TABLA PRECIOS'!$L$7+CONFIGURACION!$C$20*('TABLA PRECIOS'!$D$7+CONFIGURACION!$D$32)+IF($L$2=1,CONFIGURACION!$C$7/CONFIGURACION!$C$32,-CONFIGURACION!$C$7/($L$2*CONFIGURACION!$C$32)-CONFIGURACION!$C$55/($L$2*CONFIGURACION!$C$32)))/CONFIGURACION!$C$12+IF($L$2=1,0,-CONFIGURACION!$C$55/($L$2*CONFIGURACION!$C$32))</f>
        <v>15.531634627344465</v>
      </c>
      <c r="K5" s="83">
        <f>'TABLA PRECIOS'!$L$7+CONFIGURACION!$C$21*('TABLA PRECIOS'!$D$7+CONFIGURACION!$D$32)</f>
        <v>15.682103956228957</v>
      </c>
      <c r="L5" s="84">
        <f>'TABLA PRECIOS'!$L$7+CONFIGURACION!$C$21*('TABLA PRECIOS'!$D$7+CONFIGURACION!$D$32)+IF($L$2=1,CONFIGURACION!$C$7/CONFIGURACION!$C$32,-CONFIGURACION!$C$7/($L$2*CONFIGURACION!$C$32)-CONFIGURACION!$C$55/($L$2*CONFIGURACION!$C$32))</f>
        <v>17.432103956228957</v>
      </c>
      <c r="M5" s="85">
        <f ca="1">('TABLA PRECIOS'!$L$7+CONFIGURACION!$C$21*('TABLA PRECIOS'!$D$7+CONFIGURACION!$D$32)+IF($L$2=1,CONFIGURACION!$C$7/CONFIGURACION!$C$32,-CONFIGURACION!$C$7/($L$2*CONFIGURACION!$C$32)-CONFIGURACION!$C$55/($L$2*CONFIGURACION!$C$32)))/CONFIGURACION!$C$12+IF($L$2=1,0,-CONFIGURACION!$C$55/($L$2*CONFIGURACION!$C$32))</f>
        <v>14.97603432665718</v>
      </c>
      <c r="N5" s="83">
        <f>'TABLA PRECIOS'!$L$7+CONFIGURACION!$C$22*('TABLA PRECIOS'!$D$7+CONFIGURACION!$D$32)</f>
        <v>15.682103956228957</v>
      </c>
      <c r="O5" s="84">
        <f>'TABLA PRECIOS'!$L$7+CONFIGURACION!$C$22*('TABLA PRECIOS'!$D$7+CONFIGURACION!$D$32)+IF($L$2=1,CONFIGURACION!$C$7/CONFIGURACION!$C$32,-CONFIGURACION!$C$7/($L$2*CONFIGURACION!$C$32)-CONFIGURACION!$C$55/($L$2*CONFIGURACION!$C$32))</f>
        <v>17.432103956228957</v>
      </c>
      <c r="P5" s="85">
        <f ca="1">('TABLA PRECIOS'!$L$7+CONFIGURACION!$C$22*('TABLA PRECIOS'!$D$7+CONFIGURACION!$D$32)+IF($L$2=1,CONFIGURACION!$C$7/CONFIGURACION!$C$32,-CONFIGURACION!$C$7/($L$2*CONFIGURACION!$C$32)-CONFIGURACION!$C$55/($L$2*CONFIGURACION!$C$32)))/CONFIGURACION!$C$12+IF($L$2=1,0,-CONFIGURACION!$C$55/($L$2*CONFIGURACION!$C$32))</f>
        <v>14.97603432665718</v>
      </c>
      <c r="Q5" s="83">
        <f>'TABLA PRECIOS'!$L$7+CONFIGURACION!$C$23*('TABLA PRECIOS'!$D$7+CONFIGURACION!$D$32)</f>
        <v>16.070135206228958</v>
      </c>
      <c r="R5" s="84">
        <f>'TABLA PRECIOS'!$L$7+CONFIGURACION!$C$23*('TABLA PRECIOS'!$D$7+CONFIGURACION!$D$32)+IF($L$2=1,CONFIGURACION!$C$7/CONFIGURACION!$C$32,-CONFIGURACION!$C$7/($L$2*CONFIGURACION!$C$32)-CONFIGURACION!$C$55/($L$2*CONFIGURACION!$C$32))</f>
        <v>17.820135206228958</v>
      </c>
      <c r="S5" s="85">
        <f ca="1">('TABLA PRECIOS'!$L$7+CONFIGURACION!$C$23*('TABLA PRECIOS'!$D$7+CONFIGURACION!$D$32)+IF($L$2=1,CONFIGURACION!$C$7/CONFIGURACION!$C$32,-CONFIGURACION!$C$7/($L$2*CONFIGURACION!$C$32)-CONFIGURACION!$C$55/($L$2*CONFIGURACION!$C$32)))/CONFIGURACION!$C$12+IF($L$2=1,0,-CONFIGURACION!$C$55/($L$2*CONFIGURACION!$C$32))</f>
        <v>15.309394507069552</v>
      </c>
      <c r="T5" s="83">
        <f>'TABLA PRECIOS'!$L$7+CONFIGURACION!$C$24*('TABLA PRECIOS'!$D$7+CONFIGURACION!$D$32)</f>
        <v>20.079791456228957</v>
      </c>
      <c r="U5" s="84">
        <f>'TABLA PRECIOS'!$L$7+CONFIGURACION!$C$24*('TABLA PRECIOS'!$D$7+CONFIGURACION!$D$32)+IF($L$2=1,CONFIGURACION!$C$7/CONFIGURACION!$C$32,-CONFIGURACION!$C$7/($L$2*CONFIGURACION!$C$32)-CONFIGURACION!$C$55/($L$2*CONFIGURACION!$C$32))</f>
        <v>21.829791456228957</v>
      </c>
      <c r="V5" s="85">
        <f ca="1">('TABLA PRECIOS'!$L$7+CONFIGURACION!$C$24*('TABLA PRECIOS'!$D$7+CONFIGURACION!$D$32)+IF($L$2=1,CONFIGURACION!$C$7/CONFIGURACION!$C$32,-CONFIGURACION!$C$7/($L$2*CONFIGURACION!$C$32)-CONFIGURACION!$C$55/($L$2*CONFIGURACION!$C$32)))/CONFIGURACION!$C$12+IF($L$2=1,0,-CONFIGURACION!$C$55/($L$2*CONFIGURACION!$C$32))</f>
        <v>18.754116371330721</v>
      </c>
      <c r="W5" s="83">
        <f>'TABLA PRECIOS'!$L$7+CONFIGURACION!$C$25*('TABLA PRECIOS'!$D$7+CONFIGURACION!$D$32)</f>
        <v>16.328822706228955</v>
      </c>
      <c r="X5" s="84">
        <f>'TABLA PRECIOS'!$L$7+CONFIGURACION!$C$25*('TABLA PRECIOS'!$D$7+CONFIGURACION!$D$32)+IF($L$2=1,CONFIGURACION!$C$7/CONFIGURACION!$C$32,-CONFIGURACION!$C$7/($L$2*CONFIGURACION!$C$32)-CONFIGURACION!$C$55/($L$2*CONFIGURACION!$C$32))</f>
        <v>18.078822706228955</v>
      </c>
      <c r="Y5" s="85">
        <f ca="1">('TABLA PRECIOS'!$L$7+CONFIGURACION!$C$25*('TABLA PRECIOS'!$D$7+CONFIGURACION!$D$32)+IF($L$2=1,CONFIGURACION!$C$7/CONFIGURACION!$C$32,-CONFIGURACION!$C$7/($L$2*CONFIGURACION!$C$32)-CONFIGURACION!$C$55/($L$2*CONFIGURACION!$C$32)))/CONFIGURACION!$C$12+IF($L$2=1,0,-CONFIGURACION!$C$55/($L$2*CONFIGURACION!$C$32))</f>
        <v>15.531634627344465</v>
      </c>
      <c r="Z5" s="83">
        <f>'TABLA PRECIOS'!$L$7+CONFIGURACION!$C$26*('TABLA PRECIOS'!$D$7+CONFIGURACION!$D$32)</f>
        <v>11.931135206228957</v>
      </c>
      <c r="AA5" s="84">
        <f>'TABLA PRECIOS'!$L$7+CONFIGURACION!$C$26*('TABLA PRECIOS'!$D$7+CONFIGURACION!$D$32)+IF($L$2=1,CONFIGURACION!$C$7/CONFIGURACION!$C$32,-CONFIGURACION!$C$7/($L$2*CONFIGURACION!$C$32)-CONFIGURACION!$C$55/($L$2*CONFIGURACION!$C$32))</f>
        <v>13.681135206228957</v>
      </c>
      <c r="AB5" s="85">
        <f ca="1">('TABLA PRECIOS'!$L$7+CONFIGURACION!$C$26*('TABLA PRECIOS'!$D$7+CONFIGURACION!$D$32)+IF($L$2=1,CONFIGURACION!$C$7/CONFIGURACION!$C$32,-CONFIGURACION!$C$7/($L$2*CONFIGURACION!$C$32)-CONFIGURACION!$C$55/($L$2*CONFIGURACION!$C$32)))/CONFIGURACION!$C$12+IF($L$2=1,0,-CONFIGURACION!$C$55/($L$2*CONFIGURACION!$C$32))</f>
        <v>11.753552582670926</v>
      </c>
      <c r="AC5" s="83">
        <f>'TABLA PRECIOS'!$L$7+CONFIGURACION!$C$27*('TABLA PRECIOS'!$D$7+CONFIGURACION!$D$32)</f>
        <v>14.388666456228957</v>
      </c>
      <c r="AD5" s="84">
        <f>'TABLA PRECIOS'!$L$7+CONFIGURACION!$C$27*('TABLA PRECIOS'!$D$7+CONFIGURACION!$D$32)+IF($L$2=1,CONFIGURACION!$C$7/CONFIGURACION!$C$32,-CONFIGURACION!$C$7/($L$2*CONFIGURACION!$C$32)-CONFIGURACION!$C$55/($L$2*CONFIGURACION!$C$32))</f>
        <v>16.138666456228957</v>
      </c>
      <c r="AE5" s="85">
        <f ca="1">('TABLA PRECIOS'!$L$7+CONFIGURACION!$C$27*('TABLA PRECIOS'!$D$7+CONFIGURACION!$D$32)+IF($L$2=1,CONFIGURACION!$C$7/CONFIGURACION!$C$32,-CONFIGURACION!$C$7/($L$2*CONFIGURACION!$C$32)-CONFIGURACION!$C$55/($L$2*CONFIGURACION!$C$32)))/CONFIGURACION!$C$12+IF($L$2=1,0,-CONFIGURACION!$C$55/($L$2*CONFIGURACION!$C$32))</f>
        <v>13.86483372528261</v>
      </c>
    </row>
    <row r="6" spans="1:31" ht="17" customHeight="1" x14ac:dyDescent="0.2">
      <c r="B6" s="86" t="s">
        <v>46</v>
      </c>
      <c r="C6" s="21" t="s">
        <v>47</v>
      </c>
      <c r="D6" s="87">
        <v>2.5</v>
      </c>
      <c r="E6" s="88">
        <f>'TABLA PRECIOS'!$L$8+CONFIGURACION!$C$19*('TABLA PRECIOS'!$D$8+CONFIGURACION!$D$34)</f>
        <v>14.583000245510663</v>
      </c>
      <c r="F6" s="84">
        <f>'TABLA PRECIOS'!$L$8+CONFIGURACION!$C$19*('TABLA PRECIOS'!$D$8+CONFIGURACION!$D$34)+IF($L$2=1,CONFIGURACION!$C$7/CONFIGURACION!$C$34,-CONFIGURACION!$C$7/($L$2*CONFIGURACION!$C$34)-CONFIGURACION!$C$55/($L$2*CONFIGURACION!$C$34))</f>
        <v>16.333000245510661</v>
      </c>
      <c r="G6" s="85">
        <f ca="1">('TABLA PRECIOS'!$L$8+CONFIGURACION!$C$19*('TABLA PRECIOS'!$D$8+CONFIGURACION!$D$34)+IF($L$2=1,CONFIGURACION!$C$7/CONFIGURACION!$C$34,-CONFIGURACION!$C$7/($L$2*CONFIGURACION!$C$34)-CONFIGURACION!$C$55/($L$2*CONFIGURACION!$C$34)))/CONFIGURACION!$C$12+IF($L$2=1,0,-CONFIGURACION!$C$55/($L$2*CONFIGURACION!$C$34))</f>
        <v>14.031787152500568</v>
      </c>
      <c r="H6" s="88">
        <f>'TABLA PRECIOS'!$L$8+CONFIGURACION!$C$20*('TABLA PRECIOS'!$D$8+CONFIGURACION!$D$34)</f>
        <v>16.126437745510664</v>
      </c>
      <c r="I6" s="84">
        <f>'TABLA PRECIOS'!$L$8+CONFIGURACION!$C$20*('TABLA PRECIOS'!$D$8+CONFIGURACION!$D$34)+IF($L$2=1,CONFIGURACION!$C$7/CONFIGURACION!$C$34,-CONFIGURACION!$C$7/($L$2*CONFIGURACION!$C$34)-CONFIGURACION!$C$55/($L$2*CONFIGURACION!$C$34))</f>
        <v>17.876437745510664</v>
      </c>
      <c r="J6" s="85">
        <f ca="1">('TABLA PRECIOS'!$L$8+CONFIGURACION!$C$20*('TABLA PRECIOS'!$D$8+CONFIGURACION!$D$34)+IF($L$2=1,CONFIGURACION!$C$7/CONFIGURACION!$C$34,-CONFIGURACION!$C$7/($L$2*CONFIGURACION!$C$34)-CONFIGURACION!$C$55/($L$2*CONFIGURACION!$C$34)))/CONFIGURACION!$C$12+IF($L$2=1,0,-CONFIGURACION!$C$55/($L$2*CONFIGURACION!$C$34))</f>
        <v>15.357764386177548</v>
      </c>
      <c r="K6" s="88">
        <f>'TABLA PRECIOS'!$L$8+CONFIGURACION!$C$21*('TABLA PRECIOS'!$D$8+CONFIGURACION!$D$34)</f>
        <v>15.354718995510662</v>
      </c>
      <c r="L6" s="84">
        <f>'TABLA PRECIOS'!$L$8+CONFIGURACION!$C$21*('TABLA PRECIOS'!$D$8+CONFIGURACION!$D$34)+IF($L$2=1,CONFIGURACION!$C$7/CONFIGURACION!$C$34,-CONFIGURACION!$C$7/($L$2*CONFIGURACION!$C$34)-CONFIGURACION!$C$55/($L$2*CONFIGURACION!$C$34))</f>
        <v>17.104718995510662</v>
      </c>
      <c r="M6" s="85">
        <f ca="1">('TABLA PRECIOS'!$L$8+CONFIGURACION!$C$21*('TABLA PRECIOS'!$D$8+CONFIGURACION!$D$34)+IF($L$2=1,CONFIGURACION!$C$7/CONFIGURACION!$C$34,-CONFIGURACION!$C$7/($L$2*CONFIGURACION!$C$34)-CONFIGURACION!$C$55/($L$2*CONFIGURACION!$C$34)))/CONFIGURACION!$C$12+IF($L$2=1,0,-CONFIGURACION!$C$55/($L$2*CONFIGURACION!$C$34))</f>
        <v>14.694775769339058</v>
      </c>
      <c r="N6" s="88">
        <f>'TABLA PRECIOS'!$L$8+CONFIGURACION!$C$22*('TABLA PRECIOS'!$D$8+CONFIGURACION!$D$34)</f>
        <v>15.354718995510662</v>
      </c>
      <c r="O6" s="84">
        <f>'TABLA PRECIOS'!$L$8+CONFIGURACION!$C$22*('TABLA PRECIOS'!$D$8+CONFIGURACION!$D$34)+IF($L$2=1,CONFIGURACION!$C$7/CONFIGURACION!$C$34,-CONFIGURACION!$C$7/($L$2*CONFIGURACION!$C$34)-CONFIGURACION!$C$55/($L$2*CONFIGURACION!$C$34))</f>
        <v>17.104718995510662</v>
      </c>
      <c r="P6" s="85">
        <f ca="1">('TABLA PRECIOS'!$L$8+CONFIGURACION!$C$22*('TABLA PRECIOS'!$D$8+CONFIGURACION!$D$34)+IF($L$2=1,CONFIGURACION!$C$7/CONFIGURACION!$C$34,-CONFIGURACION!$C$7/($L$2*CONFIGURACION!$C$34)-CONFIGURACION!$C$55/($L$2*CONFIGURACION!$C$34)))/CONFIGURACION!$C$12+IF($L$2=1,0,-CONFIGURACION!$C$55/($L$2*CONFIGURACION!$C$34))</f>
        <v>14.694775769339058</v>
      </c>
      <c r="Q6" s="88">
        <f>'TABLA PRECIOS'!$L$8+CONFIGURACION!$C$23*('TABLA PRECIOS'!$D$8+CONFIGURACION!$D$34)</f>
        <v>15.817750245510663</v>
      </c>
      <c r="R6" s="84">
        <f>'TABLA PRECIOS'!$L$8+CONFIGURACION!$C$23*('TABLA PRECIOS'!$D$8+CONFIGURACION!$D$34)+IF($L$2=1,CONFIGURACION!$C$7/CONFIGURACION!$C$34,-CONFIGURACION!$C$7/($L$2*CONFIGURACION!$C$34)-CONFIGURACION!$C$55/($L$2*CONFIGURACION!$C$34))</f>
        <v>17.567750245510663</v>
      </c>
      <c r="S6" s="85">
        <f ca="1">('TABLA PRECIOS'!$L$8+CONFIGURACION!$C$23*('TABLA PRECIOS'!$D$8+CONFIGURACION!$D$34)+IF($L$2=1,CONFIGURACION!$C$7/CONFIGURACION!$C$34,-CONFIGURACION!$C$7/($L$2*CONFIGURACION!$C$34)-CONFIGURACION!$C$55/($L$2*CONFIGURACION!$C$34)))/CONFIGURACION!$C$12+IF($L$2=1,0,-CONFIGURACION!$C$55/($L$2*CONFIGURACION!$C$34))</f>
        <v>15.092568939442151</v>
      </c>
      <c r="T6" s="88">
        <f>'TABLA PRECIOS'!$L$8+CONFIGURACION!$C$24*('TABLA PRECIOS'!$D$8+CONFIGURACION!$D$34)</f>
        <v>20.60240649551066</v>
      </c>
      <c r="U6" s="84">
        <f>'TABLA PRECIOS'!$L$8+CONFIGURACION!$C$24*('TABLA PRECIOS'!$D$8+CONFIGURACION!$D$34)+IF($L$2=1,CONFIGURACION!$C$7/CONFIGURACION!$C$34,-CONFIGURACION!$C$7/($L$2*CONFIGURACION!$C$34)-CONFIGURACION!$C$55/($L$2*CONFIGURACION!$C$34))</f>
        <v>22.35240649551066</v>
      </c>
      <c r="V6" s="85">
        <f ca="1">('TABLA PRECIOS'!$L$8+CONFIGURACION!$C$24*('TABLA PRECIOS'!$D$8+CONFIGURACION!$D$34)+IF($L$2=1,CONFIGURACION!$C$7/CONFIGURACION!$C$34,-CONFIGURACION!$C$7/($L$2*CONFIGURACION!$C$34)-CONFIGURACION!$C$55/($L$2*CONFIGURACION!$C$34)))/CONFIGURACION!$C$12+IF($L$2=1,0,-CONFIGURACION!$C$55/($L$2*CONFIGURACION!$C$34))</f>
        <v>19.203098363840773</v>
      </c>
      <c r="W6" s="88">
        <f>'TABLA PRECIOS'!$L$8+CONFIGURACION!$C$25*('TABLA PRECIOS'!$D$8+CONFIGURACION!$D$34)</f>
        <v>16.126437745510664</v>
      </c>
      <c r="X6" s="84">
        <f>'TABLA PRECIOS'!$L$8+CONFIGURACION!$C$25*('TABLA PRECIOS'!$D$8+CONFIGURACION!$D$34)+IF($L$2=1,CONFIGURACION!$C$7/CONFIGURACION!$C$34,-CONFIGURACION!$C$7/($L$2*CONFIGURACION!$C$34)-CONFIGURACION!$C$55/($L$2*CONFIGURACION!$C$34))</f>
        <v>17.876437745510664</v>
      </c>
      <c r="Y6" s="85">
        <f ca="1">('TABLA PRECIOS'!$L$8+CONFIGURACION!$C$25*('TABLA PRECIOS'!$D$8+CONFIGURACION!$D$34)+IF($L$2=1,CONFIGURACION!$C$7/CONFIGURACION!$C$34,-CONFIGURACION!$C$7/($L$2*CONFIGURACION!$C$34)-CONFIGURACION!$C$55/($L$2*CONFIGURACION!$C$34)))/CONFIGURACION!$C$12+IF($L$2=1,0,-CONFIGURACION!$C$55/($L$2*CONFIGURACION!$C$34))</f>
        <v>15.357764386177548</v>
      </c>
      <c r="Z6" s="88">
        <f>'TABLA PRECIOS'!$L$8+CONFIGURACION!$C$26*('TABLA PRECIOS'!$D$8+CONFIGURACION!$D$34)</f>
        <v>10.878750245510663</v>
      </c>
      <c r="AA6" s="84">
        <f>'TABLA PRECIOS'!$L$8+CONFIGURACION!$C$26*('TABLA PRECIOS'!$D$8+CONFIGURACION!$D$34)+IF($L$2=1,CONFIGURACION!$C$7/CONFIGURACION!$C$34,-CONFIGURACION!$C$7/($L$2*CONFIGURACION!$C$34)-CONFIGURACION!$C$55/($L$2*CONFIGURACION!$C$34))</f>
        <v>12.628750245510663</v>
      </c>
      <c r="AB6" s="85">
        <f ca="1">('TABLA PRECIOS'!$L$8+CONFIGURACION!$C$26*('TABLA PRECIOS'!$D$8+CONFIGURACION!$D$34)+IF($L$2=1,CONFIGURACION!$C$7/CONFIGURACION!$C$34,-CONFIGURACION!$C$7/($L$2*CONFIGURACION!$C$34)-CONFIGURACION!$C$55/($L$2*CONFIGURACION!$C$34)))/CONFIGURACION!$C$12+IF($L$2=1,0,-CONFIGURACION!$C$55/($L$2*CONFIGURACION!$C$34))</f>
        <v>10.849441791675828</v>
      </c>
      <c r="AC6" s="88">
        <f>'TABLA PRECIOS'!$L$8+CONFIGURACION!$C$27*('TABLA PRECIOS'!$D$8+CONFIGURACION!$D$34)</f>
        <v>13.811281495510663</v>
      </c>
      <c r="AD6" s="84">
        <f>'TABLA PRECIOS'!$L$8+CONFIGURACION!$C$27*('TABLA PRECIOS'!$D$8+CONFIGURACION!$D$34)+IF($L$2=1,CONFIGURACION!$C$7/CONFIGURACION!$C$34,-CONFIGURACION!$C$7/($L$2*CONFIGURACION!$C$34)-CONFIGURACION!$C$55/($L$2*CONFIGURACION!$C$34))</f>
        <v>15.561281495510663</v>
      </c>
      <c r="AE6" s="85">
        <f ca="1">('TABLA PRECIOS'!$L$8+CONFIGURACION!$C$27*('TABLA PRECIOS'!$D$8+CONFIGURACION!$D$34)+IF($L$2=1,CONFIGURACION!$C$7/CONFIGURACION!$C$34,-CONFIGURACION!$C$7/($L$2*CONFIGURACION!$C$34)-CONFIGURACION!$C$55/($L$2*CONFIGURACION!$C$34)))/CONFIGURACION!$C$12+IF($L$2=1,0,-CONFIGURACION!$C$55/($L$2*CONFIGURACION!$C$34))</f>
        <v>13.368798535662082</v>
      </c>
    </row>
    <row r="7" spans="1:31" ht="17" customHeight="1" x14ac:dyDescent="0.2">
      <c r="B7" s="81" t="s">
        <v>48</v>
      </c>
      <c r="C7" s="17" t="s">
        <v>49</v>
      </c>
      <c r="D7" s="82">
        <v>2.5</v>
      </c>
      <c r="E7" s="83">
        <f>'TABLA PRECIOS'!$L$9+CONFIGURACION!$C$19*('TABLA PRECIOS'!$D$9+CONFIGURACION!$D$33)</f>
        <v>22.466669850680724</v>
      </c>
      <c r="F7" s="84">
        <f>'TABLA PRECIOS'!$L$9+CONFIGURACION!$C$19*('TABLA PRECIOS'!$D$9+CONFIGURACION!$D$33)+IF($L$2=1,CONFIGURACION!$C$7/CONFIGURACION!$C$33,-CONFIGURACION!$C$7/($L$2*CONFIGURACION!$C$33)-CONFIGURACION!$C$55/($L$2*CONFIGURACION!$C$33))</f>
        <v>24.022225406236281</v>
      </c>
      <c r="G7" s="85">
        <f ca="1">('TABLA PRECIOS'!$L$9+CONFIGURACION!$C$19*('TABLA PRECIOS'!$D$9+CONFIGURACION!$D$33)+IF($L$2=1,CONFIGURACION!$C$7/CONFIGURACION!$C$33,-CONFIGURACION!$C$7/($L$2*CONFIGURACION!$C$33)-CONFIGURACION!$C$55/($L$2*CONFIGURACION!$C$33)))/CONFIGURACION!$C$12+IF($L$2=1,0,-CONFIGURACION!$C$55/($L$2*CONFIGURACION!$C$33))</f>
        <v>20.637650692642854</v>
      </c>
      <c r="H7" s="83">
        <f>'TABLA PRECIOS'!$L$9+CONFIGURACION!$C$20*('TABLA PRECIOS'!$D$9+CONFIGURACION!$D$33)</f>
        <v>23.99972540623628</v>
      </c>
      <c r="I7" s="84">
        <f>'TABLA PRECIOS'!$L$9+CONFIGURACION!$C$20*('TABLA PRECIOS'!$D$9+CONFIGURACION!$D$33)+IF($L$2=1,CONFIGURACION!$C$7/CONFIGURACION!$C$33,-CONFIGURACION!$C$7/($L$2*CONFIGURACION!$C$33)-CONFIGURACION!$C$55/($L$2*CONFIGURACION!$C$33))</f>
        <v>25.555280961791837</v>
      </c>
      <c r="J7" s="85">
        <f ca="1">('TABLA PRECIOS'!$L$9+CONFIGURACION!$C$20*('TABLA PRECIOS'!$D$9+CONFIGURACION!$D$33)+IF($L$2=1,CONFIGURACION!$C$7/CONFIGURACION!$C$33,-CONFIGURACION!$C$7/($L$2*CONFIGURACION!$C$33)-CONFIGURACION!$C$55/($L$2*CONFIGURACION!$C$33)))/CONFIGURACION!$C$12+IF($L$2=1,0,-CONFIGURACION!$C$55/($L$2*CONFIGURACION!$C$33))</f>
        <v>21.954708730061718</v>
      </c>
      <c r="K7" s="83">
        <f>'TABLA PRECIOS'!$L$9+CONFIGURACION!$C$21*('TABLA PRECIOS'!$D$9+CONFIGURACION!$D$33)</f>
        <v>23.233197628458498</v>
      </c>
      <c r="L7" s="84">
        <f>'TABLA PRECIOS'!$L$9+CONFIGURACION!$C$21*('TABLA PRECIOS'!$D$9+CONFIGURACION!$D$33)+IF($L$2=1,CONFIGURACION!$C$7/CONFIGURACION!$C$33,-CONFIGURACION!$C$7/($L$2*CONFIGURACION!$C$33)-CONFIGURACION!$C$55/($L$2*CONFIGURACION!$C$33))</f>
        <v>24.788753184014055</v>
      </c>
      <c r="M7" s="85">
        <f ca="1">('TABLA PRECIOS'!$L$9+CONFIGURACION!$C$21*('TABLA PRECIOS'!$D$9+CONFIGURACION!$D$33)+IF($L$2=1,CONFIGURACION!$C$7/CONFIGURACION!$C$33,-CONFIGURACION!$C$7/($L$2*CONFIGURACION!$C$33)-CONFIGURACION!$C$55/($L$2*CONFIGURACION!$C$33)))/CONFIGURACION!$C$12+IF($L$2=1,0,-CONFIGURACION!$C$55/($L$2*CONFIGURACION!$C$33))</f>
        <v>21.296179711352284</v>
      </c>
      <c r="N7" s="83">
        <f>'TABLA PRECIOS'!$L$9+CONFIGURACION!$C$22*('TABLA PRECIOS'!$D$9+CONFIGURACION!$D$33)</f>
        <v>23.233197628458498</v>
      </c>
      <c r="O7" s="84">
        <f>'TABLA PRECIOS'!$L$9+CONFIGURACION!$C$22*('TABLA PRECIOS'!$D$9+CONFIGURACION!$D$33)+IF($L$2=1,CONFIGURACION!$C$7/CONFIGURACION!$C$33,-CONFIGURACION!$C$7/($L$2*CONFIGURACION!$C$33)-CONFIGURACION!$C$55/($L$2*CONFIGURACION!$C$33))</f>
        <v>24.788753184014055</v>
      </c>
      <c r="P7" s="85">
        <f ca="1">('TABLA PRECIOS'!$L$9+CONFIGURACION!$C$22*('TABLA PRECIOS'!$D$9+CONFIGURACION!$D$33)+IF($L$2=1,CONFIGURACION!$C$7/CONFIGURACION!$C$33,-CONFIGURACION!$C$7/($L$2*CONFIGURACION!$C$33)-CONFIGURACION!$C$55/($L$2*CONFIGURACION!$C$33)))/CONFIGURACION!$C$12+IF($L$2=1,0,-CONFIGURACION!$C$55/($L$2*CONFIGURACION!$C$33))</f>
        <v>21.296179711352284</v>
      </c>
      <c r="Q7" s="83">
        <f>'TABLA PRECIOS'!$L$9+CONFIGURACION!$C$23*('TABLA PRECIOS'!$D$9+CONFIGURACION!$D$33)</f>
        <v>23.693114295125167</v>
      </c>
      <c r="R7" s="84">
        <f>'TABLA PRECIOS'!$L$9+CONFIGURACION!$C$23*('TABLA PRECIOS'!$D$9+CONFIGURACION!$D$33)+IF($L$2=1,CONFIGURACION!$C$7/CONFIGURACION!$C$33,-CONFIGURACION!$C$7/($L$2*CONFIGURACION!$C$33)-CONFIGURACION!$C$55/($L$2*CONFIGURACION!$C$33))</f>
        <v>25.248669850680724</v>
      </c>
      <c r="S7" s="85">
        <f ca="1">('TABLA PRECIOS'!$L$9+CONFIGURACION!$C$23*('TABLA PRECIOS'!$D$9+CONFIGURACION!$D$33)+IF($L$2=1,CONFIGURACION!$C$7/CONFIGURACION!$C$33,-CONFIGURACION!$C$7/($L$2*CONFIGURACION!$C$33)-CONFIGURACION!$C$55/($L$2*CONFIGURACION!$C$33)))/CONFIGURACION!$C$12+IF($L$2=1,0,-CONFIGURACION!$C$55/($L$2*CONFIGURACION!$C$33))</f>
        <v>21.691297122577943</v>
      </c>
      <c r="T7" s="83">
        <f>'TABLA PRECIOS'!$L$9+CONFIGURACION!$C$24*('TABLA PRECIOS'!$D$9+CONFIGURACION!$D$33)</f>
        <v>28.445586517347387</v>
      </c>
      <c r="U7" s="84">
        <f>'TABLA PRECIOS'!$L$9+CONFIGURACION!$C$24*('TABLA PRECIOS'!$D$9+CONFIGURACION!$D$33)+IF($L$2=1,CONFIGURACION!$C$7/CONFIGURACION!$C$33,-CONFIGURACION!$C$7/($L$2*CONFIGURACION!$C$33)-CONFIGURACION!$C$55/($L$2*CONFIGURACION!$C$33))</f>
        <v>30.001142072902944</v>
      </c>
      <c r="V7" s="85">
        <f ca="1">('TABLA PRECIOS'!$L$9+CONFIGURACION!$C$24*('TABLA PRECIOS'!$D$9+CONFIGURACION!$D$33)+IF($L$2=1,CONFIGURACION!$C$7/CONFIGURACION!$C$33,-CONFIGURACION!$C$7/($L$2*CONFIGURACION!$C$33)-CONFIGURACION!$C$55/($L$2*CONFIGURACION!$C$33)))/CONFIGURACION!$C$12+IF($L$2=1,0,-CONFIGURACION!$C$55/($L$2*CONFIGURACION!$C$33))</f>
        <v>25.774177038576415</v>
      </c>
      <c r="W7" s="83">
        <f>'TABLA PRECIOS'!$L$9+CONFIGURACION!$C$25*('TABLA PRECIOS'!$D$9+CONFIGURACION!$D$33)</f>
        <v>23.99972540623628</v>
      </c>
      <c r="X7" s="84">
        <f>'TABLA PRECIOS'!$L$9+CONFIGURACION!$C$25*('TABLA PRECIOS'!$D$9+CONFIGURACION!$D$33)+IF($L$2=1,CONFIGURACION!$C$7/CONFIGURACION!$C$33,-CONFIGURACION!$C$7/($L$2*CONFIGURACION!$C$33)-CONFIGURACION!$C$55/($L$2*CONFIGURACION!$C$33))</f>
        <v>25.555280961791837</v>
      </c>
      <c r="Y7" s="85">
        <f ca="1">('TABLA PRECIOS'!$L$9+CONFIGURACION!$C$25*('TABLA PRECIOS'!$D$9+CONFIGURACION!$D$33)+IF($L$2=1,CONFIGURACION!$C$7/CONFIGURACION!$C$33,-CONFIGURACION!$C$7/($L$2*CONFIGURACION!$C$33)-CONFIGURACION!$C$55/($L$2*CONFIGURACION!$C$33)))/CONFIGURACION!$C$12+IF($L$2=1,0,-CONFIGURACION!$C$55/($L$2*CONFIGURACION!$C$33))</f>
        <v>21.954708730061718</v>
      </c>
      <c r="Z7" s="83">
        <f>'TABLA PRECIOS'!$L$9+CONFIGURACION!$C$26*('TABLA PRECIOS'!$D$9+CONFIGURACION!$D$33)</f>
        <v>18.787336517347388</v>
      </c>
      <c r="AA7" s="84">
        <f>'TABLA PRECIOS'!$L$9+CONFIGURACION!$C$26*('TABLA PRECIOS'!$D$9+CONFIGURACION!$D$33)+IF($L$2=1,CONFIGURACION!$C$7/CONFIGURACION!$C$33,-CONFIGURACION!$C$7/($L$2*CONFIGURACION!$C$33)-CONFIGURACION!$C$55/($L$2*CONFIGURACION!$C$33))</f>
        <v>20.342892072902945</v>
      </c>
      <c r="AB7" s="85">
        <f ca="1">('TABLA PRECIOS'!$L$9+CONFIGURACION!$C$26*('TABLA PRECIOS'!$D$9+CONFIGURACION!$D$33)+IF($L$2=1,CONFIGURACION!$C$7/CONFIGURACION!$C$33,-CONFIGURACION!$C$7/($L$2*CONFIGURACION!$C$33)-CONFIGURACION!$C$55/($L$2*CONFIGURACION!$C$33)))/CONFIGURACION!$C$12+IF($L$2=1,0,-CONFIGURACION!$C$55/($L$2*CONFIGURACION!$C$33))</f>
        <v>17.476711402837584</v>
      </c>
      <c r="AC7" s="83">
        <f>'TABLA PRECIOS'!$L$9+CONFIGURACION!$C$27*('TABLA PRECIOS'!$D$9+CONFIGURACION!$D$33)</f>
        <v>21.700142072902946</v>
      </c>
      <c r="AD7" s="84">
        <f>'TABLA PRECIOS'!$L$9+CONFIGURACION!$C$27*('TABLA PRECIOS'!$D$9+CONFIGURACION!$D$33)+IF($L$2=1,CONFIGURACION!$C$7/CONFIGURACION!$C$33,-CONFIGURACION!$C$7/($L$2*CONFIGURACION!$C$33)-CONFIGURACION!$C$55/($L$2*CONFIGURACION!$C$33))</f>
        <v>23.255697628458503</v>
      </c>
      <c r="AE7" s="85">
        <f ca="1">('TABLA PRECIOS'!$L$9+CONFIGURACION!$C$27*('TABLA PRECIOS'!$D$9+CONFIGURACION!$D$33)+IF($L$2=1,CONFIGURACION!$C$7/CONFIGURACION!$C$33,-CONFIGURACION!$C$7/($L$2*CONFIGURACION!$C$33)-CONFIGURACION!$C$55/($L$2*CONFIGURACION!$C$33)))/CONFIGURACION!$C$12+IF($L$2=1,0,-CONFIGURACION!$C$55/($L$2*CONFIGURACION!$C$33))</f>
        <v>19.979121673933424</v>
      </c>
    </row>
    <row r="8" spans="1:31" ht="17" customHeight="1" x14ac:dyDescent="0.2">
      <c r="B8" s="86" t="s">
        <v>50</v>
      </c>
      <c r="C8" s="21" t="s">
        <v>51</v>
      </c>
      <c r="D8" s="87">
        <v>4.5</v>
      </c>
      <c r="E8" s="88">
        <f>'TABLA PRECIOS'!$L$10+CONFIGURACION!$C$19*('TABLA PRECIOS'!$D$10+CONFIGURACION!$D$37)</f>
        <v>32.850071058171373</v>
      </c>
      <c r="F8" s="84">
        <f>'TABLA PRECIOS'!$L$10+CONFIGURACION!$C$19*('TABLA PRECIOS'!$D$10+CONFIGURACION!$D$37)+IF($L$2=1,CONFIGURACION!$C$7/CONFIGURACION!$C$37,-CONFIGURACION!$C$7/($L$2*CONFIGURACION!$C$37)-CONFIGURACION!$C$55/($L$2*CONFIGURACION!$C$37))</f>
        <v>35.183404391504709</v>
      </c>
      <c r="G8" s="85">
        <f ca="1">('TABLA PRECIOS'!$L$10+CONFIGURACION!$C$19*('TABLA PRECIOS'!$D$10+CONFIGURACION!$D$37)+IF($L$2=1,CONFIGURACION!$C$7/CONFIGURACION!$C$37,-CONFIGURACION!$C$7/($L$2*CONFIGURACION!$C$37)-CONFIGURACION!$C$55/($L$2*CONFIGURACION!$C$37)))/CONFIGURACION!$C$12+IF($L$2=1,0,-CONFIGURACION!$C$55/($L$2*CONFIGURACION!$C$37))</f>
        <v>30.226292432564186</v>
      </c>
      <c r="H8" s="88">
        <f>'TABLA PRECIOS'!$L$10+CONFIGURACION!$C$20*('TABLA PRECIOS'!$D$10+CONFIGURACION!$D$37)</f>
        <v>35.424654391504703</v>
      </c>
      <c r="I8" s="84">
        <f>'TABLA PRECIOS'!$L$10+CONFIGURACION!$C$20*('TABLA PRECIOS'!$D$10+CONFIGURACION!$D$37)+IF($L$2=1,CONFIGURACION!$C$7/CONFIGURACION!$C$37,-CONFIGURACION!$C$7/($L$2*CONFIGURACION!$C$37)-CONFIGURACION!$C$55/($L$2*CONFIGURACION!$C$37))</f>
        <v>37.757987724838038</v>
      </c>
      <c r="J8" s="85">
        <f ca="1">('TABLA PRECIOS'!$L$10+CONFIGURACION!$C$20*('TABLA PRECIOS'!$D$10+CONFIGURACION!$D$37)+IF($L$2=1,CONFIGURACION!$C$7/CONFIGURACION!$C$37,-CONFIGURACION!$C$7/($L$2*CONFIGURACION!$C$37)-CONFIGURACION!$C$55/($L$2*CONFIGURACION!$C$37)))/CONFIGURACION!$C$12+IF($L$2=1,0,-CONFIGURACION!$C$55/($L$2*CONFIGURACION!$C$37))</f>
        <v>32.438133784225123</v>
      </c>
      <c r="K8" s="88">
        <f>'TABLA PRECIOS'!$L$10+CONFIGURACION!$C$21*('TABLA PRECIOS'!$D$10+CONFIGURACION!$D$37)</f>
        <v>34.137362724838042</v>
      </c>
      <c r="L8" s="84">
        <f>'TABLA PRECIOS'!$L$10+CONFIGURACION!$C$21*('TABLA PRECIOS'!$D$10+CONFIGURACION!$D$37)+IF($L$2=1,CONFIGURACION!$C$7/CONFIGURACION!$C$37,-CONFIGURACION!$C$7/($L$2*CONFIGURACION!$C$37)-CONFIGURACION!$C$55/($L$2*CONFIGURACION!$C$37))</f>
        <v>36.470696058171377</v>
      </c>
      <c r="M8" s="85">
        <f ca="1">('TABLA PRECIOS'!$L$10+CONFIGURACION!$C$21*('TABLA PRECIOS'!$D$10+CONFIGURACION!$D$37)+IF($L$2=1,CONFIGURACION!$C$7/CONFIGURACION!$C$37,-CONFIGURACION!$C$7/($L$2*CONFIGURACION!$C$37)-CONFIGURACION!$C$55/($L$2*CONFIGURACION!$C$37)))/CONFIGURACION!$C$12+IF($L$2=1,0,-CONFIGURACION!$C$55/($L$2*CONFIGURACION!$C$37))</f>
        <v>31.332213108394654</v>
      </c>
      <c r="N8" s="88">
        <f>'TABLA PRECIOS'!$L$10+CONFIGURACION!$C$22*('TABLA PRECIOS'!$D$10+CONFIGURACION!$D$37)</f>
        <v>34.137362724838042</v>
      </c>
      <c r="O8" s="84">
        <f>'TABLA PRECIOS'!$L$10+CONFIGURACION!$C$22*('TABLA PRECIOS'!$D$10+CONFIGURACION!$D$37)+IF($L$2=1,CONFIGURACION!$C$7/CONFIGURACION!$C$37,-CONFIGURACION!$C$7/($L$2*CONFIGURACION!$C$37)-CONFIGURACION!$C$55/($L$2*CONFIGURACION!$C$37))</f>
        <v>36.470696058171377</v>
      </c>
      <c r="P8" s="85">
        <f ca="1">('TABLA PRECIOS'!$L$10+CONFIGURACION!$C$22*('TABLA PRECIOS'!$D$10+CONFIGURACION!$D$37)+IF($L$2=1,CONFIGURACION!$C$7/CONFIGURACION!$C$37,-CONFIGURACION!$C$7/($L$2*CONFIGURACION!$C$37)-CONFIGURACION!$C$55/($L$2*CONFIGURACION!$C$37)))/CONFIGURACION!$C$12+IF($L$2=1,0,-CONFIGURACION!$C$55/($L$2*CONFIGURACION!$C$37))</f>
        <v>31.332213108394654</v>
      </c>
      <c r="Q8" s="88">
        <f>'TABLA PRECIOS'!$L$10+CONFIGURACION!$C$23*('TABLA PRECIOS'!$D$10+CONFIGURACION!$D$37)</f>
        <v>34.909737724838038</v>
      </c>
      <c r="R8" s="84">
        <f>'TABLA PRECIOS'!$L$10+CONFIGURACION!$C$23*('TABLA PRECIOS'!$D$10+CONFIGURACION!$D$37)+IF($L$2=1,CONFIGURACION!$C$7/CONFIGURACION!$C$37,-CONFIGURACION!$C$7/($L$2*CONFIGURACION!$C$37)-CONFIGURACION!$C$55/($L$2*CONFIGURACION!$C$37))</f>
        <v>37.243071058171374</v>
      </c>
      <c r="S8" s="85">
        <f ca="1">('TABLA PRECIOS'!$L$10+CONFIGURACION!$C$23*('TABLA PRECIOS'!$D$10+CONFIGURACION!$D$37)+IF($L$2=1,CONFIGURACION!$C$7/CONFIGURACION!$C$37,-CONFIGURACION!$C$7/($L$2*CONFIGURACION!$C$37)-CONFIGURACION!$C$55/($L$2*CONFIGURACION!$C$37)))/CONFIGURACION!$C$12+IF($L$2=1,0,-CONFIGURACION!$C$55/($L$2*CONFIGURACION!$C$37))</f>
        <v>31.995765513892934</v>
      </c>
      <c r="T8" s="88">
        <f>'TABLA PRECIOS'!$L$10+CONFIGURACION!$C$24*('TABLA PRECIOS'!$D$10+CONFIGURACION!$D$37)</f>
        <v>42.890946058171373</v>
      </c>
      <c r="U8" s="84">
        <f>'TABLA PRECIOS'!$L$10+CONFIGURACION!$C$24*('TABLA PRECIOS'!$D$10+CONFIGURACION!$D$37)+IF($L$2=1,CONFIGURACION!$C$7/CONFIGURACION!$C$37,-CONFIGURACION!$C$7/($L$2*CONFIGURACION!$C$37)-CONFIGURACION!$C$55/($L$2*CONFIGURACION!$C$37))</f>
        <v>45.224279391504709</v>
      </c>
      <c r="V8" s="85">
        <f ca="1">('TABLA PRECIOS'!$L$10+CONFIGURACION!$C$24*('TABLA PRECIOS'!$D$10+CONFIGURACION!$D$37)+IF($L$2=1,CONFIGURACION!$C$7/CONFIGURACION!$C$37,-CONFIGURACION!$C$7/($L$2*CONFIGURACION!$C$37)-CONFIGURACION!$C$55/($L$2*CONFIGURACION!$C$37)))/CONFIGURACION!$C$12+IF($L$2=1,0,-CONFIGURACION!$C$55/($L$2*CONFIGURACION!$C$37))</f>
        <v>38.852473704041849</v>
      </c>
      <c r="W8" s="88">
        <f>'TABLA PRECIOS'!$L$10+CONFIGURACION!$C$25*('TABLA PRECIOS'!$D$10+CONFIGURACION!$D$37)</f>
        <v>35.424654391504703</v>
      </c>
      <c r="X8" s="84">
        <f>'TABLA PRECIOS'!$L$10+CONFIGURACION!$C$25*('TABLA PRECIOS'!$D$10+CONFIGURACION!$D$37)+IF($L$2=1,CONFIGURACION!$C$7/CONFIGURACION!$C$37,-CONFIGURACION!$C$7/($L$2*CONFIGURACION!$C$37)-CONFIGURACION!$C$55/($L$2*CONFIGURACION!$C$37))</f>
        <v>37.757987724838038</v>
      </c>
      <c r="Y8" s="85">
        <f ca="1">('TABLA PRECIOS'!$L$10+CONFIGURACION!$C$25*('TABLA PRECIOS'!$D$10+CONFIGURACION!$D$37)+IF($L$2=1,CONFIGURACION!$C$7/CONFIGURACION!$C$37,-CONFIGURACION!$C$7/($L$2*CONFIGURACION!$C$37)-CONFIGURACION!$C$55/($L$2*CONFIGURACION!$C$37)))/CONFIGURACION!$C$12+IF($L$2=1,0,-CONFIGURACION!$C$55/($L$2*CONFIGURACION!$C$37))</f>
        <v>32.438133784225123</v>
      </c>
      <c r="Z8" s="88">
        <f>'TABLA PRECIOS'!$L$10+CONFIGURACION!$C$26*('TABLA PRECIOS'!$D$10+CONFIGURACION!$D$37)</f>
        <v>26.671071058171371</v>
      </c>
      <c r="AA8" s="84">
        <f>'TABLA PRECIOS'!$L$10+CONFIGURACION!$C$26*('TABLA PRECIOS'!$D$10+CONFIGURACION!$D$37)+IF($L$2=1,CONFIGURACION!$C$7/CONFIGURACION!$C$37,-CONFIGURACION!$C$7/($L$2*CONFIGURACION!$C$37)-CONFIGURACION!$C$55/($L$2*CONFIGURACION!$C$37))</f>
        <v>29.004404391504703</v>
      </c>
      <c r="AB8" s="85">
        <f ca="1">('TABLA PRECIOS'!$L$10+CONFIGURACION!$C$26*('TABLA PRECIOS'!$D$10+CONFIGURACION!$D$37)+IF($L$2=1,CONFIGURACION!$C$7/CONFIGURACION!$C$37,-CONFIGURACION!$C$7/($L$2*CONFIGURACION!$C$37)-CONFIGURACION!$C$55/($L$2*CONFIGURACION!$C$37)))/CONFIGURACION!$C$12+IF($L$2=1,0,-CONFIGURACION!$C$55/($L$2*CONFIGURACION!$C$37))</f>
        <v>24.917873188577925</v>
      </c>
      <c r="AC8" s="88">
        <f>'TABLA PRECIOS'!$L$10+CONFIGURACION!$C$27*('TABLA PRECIOS'!$D$10+CONFIGURACION!$D$37)</f>
        <v>31.562779391504705</v>
      </c>
      <c r="AD8" s="84">
        <f>'TABLA PRECIOS'!$L$10+CONFIGURACION!$C$27*('TABLA PRECIOS'!$D$10+CONFIGURACION!$D$37)+IF($L$2=1,CONFIGURACION!$C$7/CONFIGURACION!$C$37,-CONFIGURACION!$C$7/($L$2*CONFIGURACION!$C$37)-CONFIGURACION!$C$55/($L$2*CONFIGURACION!$C$37))</f>
        <v>33.896112724838041</v>
      </c>
      <c r="AE8" s="85">
        <f ca="1">('TABLA PRECIOS'!$L$10+CONFIGURACION!$C$27*('TABLA PRECIOS'!$D$10+CONFIGURACION!$D$37)+IF($L$2=1,CONFIGURACION!$C$7/CONFIGURACION!$C$37,-CONFIGURACION!$C$7/($L$2*CONFIGURACION!$C$37)-CONFIGURACION!$C$55/($L$2*CONFIGURACION!$C$37)))/CONFIGURACION!$C$12+IF($L$2=1,0,-CONFIGURACION!$C$55/($L$2*CONFIGURACION!$C$37))</f>
        <v>29.120371756733714</v>
      </c>
    </row>
    <row r="9" spans="1:31" ht="17" customHeight="1" x14ac:dyDescent="0.2">
      <c r="B9" s="81" t="s">
        <v>52</v>
      </c>
      <c r="C9" s="17" t="s">
        <v>53</v>
      </c>
      <c r="D9" s="82">
        <v>4.5</v>
      </c>
      <c r="E9" s="83">
        <f>'TABLA PRECIOS'!$L$11+CONFIGURACION!$C$19*('TABLA PRECIOS'!$D$11+CONFIGURACION!$D$37)</f>
        <v>26.874976194187617</v>
      </c>
      <c r="F9" s="84">
        <f>'TABLA PRECIOS'!$L$11+CONFIGURACION!$C$19*('TABLA PRECIOS'!$D$11+CONFIGURACION!$D$37)+IF($L$2=1,CONFIGURACION!$C$7/CONFIGURACION!$C$37,-CONFIGURACION!$C$7/($L$2*CONFIGURACION!$C$37)-CONFIGURACION!$C$55/($L$2*CONFIGURACION!$C$37))</f>
        <v>29.208309527520949</v>
      </c>
      <c r="G9" s="85">
        <f ca="1">('TABLA PRECIOS'!$L$11+CONFIGURACION!$C$19*('TABLA PRECIOS'!$D$11+CONFIGURACION!$D$37)+IF($L$2=1,CONFIGURACION!$C$7/CONFIGURACION!$C$37,-CONFIGURACION!$C$7/($L$2*CONFIGURACION!$C$37)-CONFIGURACION!$C$55/($L$2*CONFIGURACION!$C$37)))/CONFIGURACION!$C$12+IF($L$2=1,0,-CONFIGURACION!$C$55/($L$2*CONFIGURACION!$C$37))</f>
        <v>25.093049422268859</v>
      </c>
      <c r="H9" s="83">
        <f>'TABLA PRECIOS'!$L$11+CONFIGURACION!$C$20*('TABLA PRECIOS'!$D$11+CONFIGURACION!$D$37)</f>
        <v>29.449559527520947</v>
      </c>
      <c r="I9" s="84">
        <f>'TABLA PRECIOS'!$L$11+CONFIGURACION!$C$20*('TABLA PRECIOS'!$D$11+CONFIGURACION!$D$37)+IF($L$2=1,CONFIGURACION!$C$7/CONFIGURACION!$C$37,-CONFIGURACION!$C$7/($L$2*CONFIGURACION!$C$37)-CONFIGURACION!$C$55/($L$2*CONFIGURACION!$C$37))</f>
        <v>31.782892860854279</v>
      </c>
      <c r="J9" s="85">
        <f ca="1">('TABLA PRECIOS'!$L$11+CONFIGURACION!$C$20*('TABLA PRECIOS'!$D$11+CONFIGURACION!$D$37)+IF($L$2=1,CONFIGURACION!$C$7/CONFIGURACION!$C$37,-CONFIGURACION!$C$7/($L$2*CONFIGURACION!$C$37)-CONFIGURACION!$C$55/($L$2*CONFIGURACION!$C$37)))/CONFIGURACION!$C$12+IF($L$2=1,0,-CONFIGURACION!$C$55/($L$2*CONFIGURACION!$C$37))</f>
        <v>27.304890773929795</v>
      </c>
      <c r="K9" s="83">
        <f>'TABLA PRECIOS'!$L$11+CONFIGURACION!$C$21*('TABLA PRECIOS'!$D$11+CONFIGURACION!$D$37)</f>
        <v>28.162267860854282</v>
      </c>
      <c r="L9" s="84">
        <f>'TABLA PRECIOS'!$L$11+CONFIGURACION!$C$21*('TABLA PRECIOS'!$D$11+CONFIGURACION!$D$37)+IF($L$2=1,CONFIGURACION!$C$7/CONFIGURACION!$C$37,-CONFIGURACION!$C$7/($L$2*CONFIGURACION!$C$37)-CONFIGURACION!$C$55/($L$2*CONFIGURACION!$C$37))</f>
        <v>30.495601194187614</v>
      </c>
      <c r="M9" s="85">
        <f ca="1">('TABLA PRECIOS'!$L$11+CONFIGURACION!$C$21*('TABLA PRECIOS'!$D$11+CONFIGURACION!$D$37)+IF($L$2=1,CONFIGURACION!$C$7/CONFIGURACION!$C$37,-CONFIGURACION!$C$7/($L$2*CONFIGURACION!$C$37)-CONFIGURACION!$C$55/($L$2*CONFIGURACION!$C$37)))/CONFIGURACION!$C$12+IF($L$2=1,0,-CONFIGURACION!$C$55/($L$2*CONFIGURACION!$C$37))</f>
        <v>26.198970098099327</v>
      </c>
      <c r="N9" s="83">
        <f>'TABLA PRECIOS'!$L$11+CONFIGURACION!$C$22*('TABLA PRECIOS'!$D$11+CONFIGURACION!$D$37)</f>
        <v>28.162267860854282</v>
      </c>
      <c r="O9" s="84">
        <f>'TABLA PRECIOS'!$L$11+CONFIGURACION!$C$22*('TABLA PRECIOS'!$D$11+CONFIGURACION!$D$37)+IF($L$2=1,CONFIGURACION!$C$7/CONFIGURACION!$C$37,-CONFIGURACION!$C$7/($L$2*CONFIGURACION!$C$37)-CONFIGURACION!$C$55/($L$2*CONFIGURACION!$C$37))</f>
        <v>30.495601194187614</v>
      </c>
      <c r="P9" s="85">
        <f ca="1">('TABLA PRECIOS'!$L$11+CONFIGURACION!$C$22*('TABLA PRECIOS'!$D$11+CONFIGURACION!$D$37)+IF($L$2=1,CONFIGURACION!$C$7/CONFIGURACION!$C$37,-CONFIGURACION!$C$7/($L$2*CONFIGURACION!$C$37)-CONFIGURACION!$C$55/($L$2*CONFIGURACION!$C$37)))/CONFIGURACION!$C$12+IF($L$2=1,0,-CONFIGURACION!$C$55/($L$2*CONFIGURACION!$C$37))</f>
        <v>26.198970098099327</v>
      </c>
      <c r="Q9" s="83">
        <f>'TABLA PRECIOS'!$L$11+CONFIGURACION!$C$23*('TABLA PRECIOS'!$D$11+CONFIGURACION!$D$37)</f>
        <v>28.934642860854282</v>
      </c>
      <c r="R9" s="84">
        <f>'TABLA PRECIOS'!$L$11+CONFIGURACION!$C$23*('TABLA PRECIOS'!$D$11+CONFIGURACION!$D$37)+IF($L$2=1,CONFIGURACION!$C$7/CONFIGURACION!$C$37,-CONFIGURACION!$C$7/($L$2*CONFIGURACION!$C$37)-CONFIGURACION!$C$55/($L$2*CONFIGURACION!$C$37))</f>
        <v>31.267976194187614</v>
      </c>
      <c r="S9" s="85">
        <f ca="1">('TABLA PRECIOS'!$L$11+CONFIGURACION!$C$23*('TABLA PRECIOS'!$D$11+CONFIGURACION!$D$37)+IF($L$2=1,CONFIGURACION!$C$7/CONFIGURACION!$C$37,-CONFIGURACION!$C$7/($L$2*CONFIGURACION!$C$37)-CONFIGURACION!$C$55/($L$2*CONFIGURACION!$C$37)))/CONFIGURACION!$C$12+IF($L$2=1,0,-CONFIGURACION!$C$55/($L$2*CONFIGURACION!$C$37))</f>
        <v>26.86252250359761</v>
      </c>
      <c r="T9" s="83">
        <f>'TABLA PRECIOS'!$L$11+CONFIGURACION!$C$24*('TABLA PRECIOS'!$D$11+CONFIGURACION!$D$37)</f>
        <v>36.915851194187617</v>
      </c>
      <c r="U9" s="84">
        <f>'TABLA PRECIOS'!$L$11+CONFIGURACION!$C$24*('TABLA PRECIOS'!$D$11+CONFIGURACION!$D$37)+IF($L$2=1,CONFIGURACION!$C$7/CONFIGURACION!$C$37,-CONFIGURACION!$C$7/($L$2*CONFIGURACION!$C$37)-CONFIGURACION!$C$55/($L$2*CONFIGURACION!$C$37))</f>
        <v>39.249184527520953</v>
      </c>
      <c r="V9" s="85">
        <f ca="1">('TABLA PRECIOS'!$L$11+CONFIGURACION!$C$24*('TABLA PRECIOS'!$D$11+CONFIGURACION!$D$37)+IF($L$2=1,CONFIGURACION!$C$7/CONFIGURACION!$C$37,-CONFIGURACION!$C$7/($L$2*CONFIGURACION!$C$37)-CONFIGURACION!$C$55/($L$2*CONFIGURACION!$C$37)))/CONFIGURACION!$C$12+IF($L$2=1,0,-CONFIGURACION!$C$55/($L$2*CONFIGURACION!$C$37))</f>
        <v>33.719230693746525</v>
      </c>
      <c r="W9" s="83">
        <f>'TABLA PRECIOS'!$L$11+CONFIGURACION!$C$25*('TABLA PRECIOS'!$D$11+CONFIGURACION!$D$37)</f>
        <v>29.449559527520947</v>
      </c>
      <c r="X9" s="84">
        <f>'TABLA PRECIOS'!$L$11+CONFIGURACION!$C$25*('TABLA PRECIOS'!$D$11+CONFIGURACION!$D$37)+IF($L$2=1,CONFIGURACION!$C$7/CONFIGURACION!$C$37,-CONFIGURACION!$C$7/($L$2*CONFIGURACION!$C$37)-CONFIGURACION!$C$55/($L$2*CONFIGURACION!$C$37))</f>
        <v>31.782892860854279</v>
      </c>
      <c r="Y9" s="85">
        <f ca="1">('TABLA PRECIOS'!$L$11+CONFIGURACION!$C$25*('TABLA PRECIOS'!$D$11+CONFIGURACION!$D$37)+IF($L$2=1,CONFIGURACION!$C$7/CONFIGURACION!$C$37,-CONFIGURACION!$C$7/($L$2*CONFIGURACION!$C$37)-CONFIGURACION!$C$55/($L$2*CONFIGURACION!$C$37)))/CONFIGURACION!$C$12+IF($L$2=1,0,-CONFIGURACION!$C$55/($L$2*CONFIGURACION!$C$37))</f>
        <v>27.304890773929795</v>
      </c>
      <c r="Z9" s="83">
        <f>'TABLA PRECIOS'!$L$11+CONFIGURACION!$C$26*('TABLA PRECIOS'!$D$11+CONFIGURACION!$D$37)</f>
        <v>20.695976194187615</v>
      </c>
      <c r="AA9" s="84">
        <f>'TABLA PRECIOS'!$L$11+CONFIGURACION!$C$26*('TABLA PRECIOS'!$D$11+CONFIGURACION!$D$37)+IF($L$2=1,CONFIGURACION!$C$7/CONFIGURACION!$C$37,-CONFIGURACION!$C$7/($L$2*CONFIGURACION!$C$37)-CONFIGURACION!$C$55/($L$2*CONFIGURACION!$C$37))</f>
        <v>23.029309527520947</v>
      </c>
      <c r="AB9" s="85">
        <f ca="1">('TABLA PRECIOS'!$L$11+CONFIGURACION!$C$26*('TABLA PRECIOS'!$D$11+CONFIGURACION!$D$37)+IF($L$2=1,CONFIGURACION!$C$7/CONFIGURACION!$C$37,-CONFIGURACION!$C$7/($L$2*CONFIGURACION!$C$37)-CONFIGURACION!$C$55/($L$2*CONFIGURACION!$C$37)))/CONFIGURACION!$C$12+IF($L$2=1,0,-CONFIGURACION!$C$55/($L$2*CONFIGURACION!$C$37))</f>
        <v>19.784630178282601</v>
      </c>
      <c r="AC9" s="83">
        <f>'TABLA PRECIOS'!$L$11+CONFIGURACION!$C$27*('TABLA PRECIOS'!$D$11+CONFIGURACION!$D$37)</f>
        <v>25.587684527520949</v>
      </c>
      <c r="AD9" s="84">
        <f>'TABLA PRECIOS'!$L$11+CONFIGURACION!$C$27*('TABLA PRECIOS'!$D$11+CONFIGURACION!$D$37)+IF($L$2=1,CONFIGURACION!$C$7/CONFIGURACION!$C$37,-CONFIGURACION!$C$7/($L$2*CONFIGURACION!$C$37)-CONFIGURACION!$C$55/($L$2*CONFIGURACION!$C$37))</f>
        <v>27.921017860854281</v>
      </c>
      <c r="AE9" s="85">
        <f ca="1">('TABLA PRECIOS'!$L$11+CONFIGURACION!$C$27*('TABLA PRECIOS'!$D$11+CONFIGURACION!$D$37)+IF($L$2=1,CONFIGURACION!$C$7/CONFIGURACION!$C$37,-CONFIGURACION!$C$7/($L$2*CONFIGURACION!$C$37)-CONFIGURACION!$C$55/($L$2*CONFIGURACION!$C$37)))/CONFIGURACION!$C$12+IF($L$2=1,0,-CONFIGURACION!$C$55/($L$2*CONFIGURACION!$C$37))</f>
        <v>23.987128746438387</v>
      </c>
    </row>
    <row r="10" spans="1:31" ht="17" customHeight="1" x14ac:dyDescent="0.2">
      <c r="B10" s="86" t="s">
        <v>54</v>
      </c>
      <c r="C10" s="21" t="s">
        <v>55</v>
      </c>
      <c r="D10" s="87">
        <v>2.5</v>
      </c>
      <c r="E10" s="88">
        <f>'TABLA PRECIOS'!$L$12+CONFIGURACION!$C$19*('TABLA PRECIOS'!$D$12+CONFIGURACION!$D$34)</f>
        <v>14.98170496115527</v>
      </c>
      <c r="F10" s="84">
        <f>'TABLA PRECIOS'!$L$12+CONFIGURACION!$C$19*('TABLA PRECIOS'!$D$12+CONFIGURACION!$D$34)+IF($L$2=1,CONFIGURACION!$C$7/CONFIGURACION!$C$34,-CONFIGURACION!$C$7/($L$2*CONFIGURACION!$C$34)-CONFIGURACION!$C$55/($L$2*CONFIGURACION!$C$34))</f>
        <v>16.73170496115527</v>
      </c>
      <c r="G10" s="85">
        <f ca="1">('TABLA PRECIOS'!$L$12+CONFIGURACION!$C$19*('TABLA PRECIOS'!$D$12+CONFIGURACION!$D$34)+IF($L$2=1,CONFIGURACION!$C$7/CONFIGURACION!$C$34,-CONFIGURACION!$C$7/($L$2*CONFIGURACION!$C$34)-CONFIGURACION!$C$55/($L$2*CONFIGURACION!$C$34)))/CONFIGURACION!$C$12+IF($L$2=1,0,-CONFIGURACION!$C$55/($L$2*CONFIGURACION!$C$34))</f>
        <v>14.374316976937518</v>
      </c>
      <c r="H10" s="88">
        <f>'TABLA PRECIOS'!$L$12+CONFIGURACION!$C$20*('TABLA PRECIOS'!$D$12+CONFIGURACION!$D$34)</f>
        <v>16.525142461155269</v>
      </c>
      <c r="I10" s="84">
        <f>'TABLA PRECIOS'!$L$12+CONFIGURACION!$C$20*('TABLA PRECIOS'!$D$12+CONFIGURACION!$D$34)+IF($L$2=1,CONFIGURACION!$C$7/CONFIGURACION!$C$34,-CONFIGURACION!$C$7/($L$2*CONFIGURACION!$C$34)-CONFIGURACION!$C$55/($L$2*CONFIGURACION!$C$34))</f>
        <v>18.275142461155269</v>
      </c>
      <c r="J10" s="85">
        <f ca="1">('TABLA PRECIOS'!$L$12+CONFIGURACION!$C$20*('TABLA PRECIOS'!$D$12+CONFIGURACION!$D$34)+IF($L$2=1,CONFIGURACION!$C$7/CONFIGURACION!$C$34,-CONFIGURACION!$C$7/($L$2*CONFIGURACION!$C$34)-CONFIGURACION!$C$55/($L$2*CONFIGURACION!$C$34)))/CONFIGURACION!$C$12+IF($L$2=1,0,-CONFIGURACION!$C$55/($L$2*CONFIGURACION!$C$34))</f>
        <v>15.700294210614494</v>
      </c>
      <c r="K10" s="88">
        <f>'TABLA PRECIOS'!$L$12+CONFIGURACION!$C$21*('TABLA PRECIOS'!$D$12+CONFIGURACION!$D$34)</f>
        <v>15.75342371115527</v>
      </c>
      <c r="L10" s="84">
        <f>'TABLA PRECIOS'!$L$12+CONFIGURACION!$C$21*('TABLA PRECIOS'!$D$12+CONFIGURACION!$D$34)+IF($L$2=1,CONFIGURACION!$C$7/CONFIGURACION!$C$34,-CONFIGURACION!$C$7/($L$2*CONFIGURACION!$C$34)-CONFIGURACION!$C$55/($L$2*CONFIGURACION!$C$34))</f>
        <v>17.503423711155271</v>
      </c>
      <c r="M10" s="85">
        <f ca="1">('TABLA PRECIOS'!$L$12+CONFIGURACION!$C$21*('TABLA PRECIOS'!$D$12+CONFIGURACION!$D$34)+IF($L$2=1,CONFIGURACION!$C$7/CONFIGURACION!$C$34,-CONFIGURACION!$C$7/($L$2*CONFIGURACION!$C$34)-CONFIGURACION!$C$55/($L$2*CONFIGURACION!$C$34)))/CONFIGURACION!$C$12+IF($L$2=1,0,-CONFIGURACION!$C$55/($L$2*CONFIGURACION!$C$34))</f>
        <v>15.037305593776008</v>
      </c>
      <c r="N10" s="88">
        <f>'TABLA PRECIOS'!$L$12+CONFIGURACION!$C$22*('TABLA PRECIOS'!$D$12+CONFIGURACION!$D$34)</f>
        <v>15.75342371115527</v>
      </c>
      <c r="O10" s="84">
        <f>'TABLA PRECIOS'!$L$12+CONFIGURACION!$C$22*('TABLA PRECIOS'!$D$12+CONFIGURACION!$D$34)+IF($L$2=1,CONFIGURACION!$C$7/CONFIGURACION!$C$34,-CONFIGURACION!$C$7/($L$2*CONFIGURACION!$C$34)-CONFIGURACION!$C$55/($L$2*CONFIGURACION!$C$34))</f>
        <v>17.503423711155271</v>
      </c>
      <c r="P10" s="85">
        <f ca="1">('TABLA PRECIOS'!$L$12+CONFIGURACION!$C$22*('TABLA PRECIOS'!$D$12+CONFIGURACION!$D$34)+IF($L$2=1,CONFIGURACION!$C$7/CONFIGURACION!$C$34,-CONFIGURACION!$C$7/($L$2*CONFIGURACION!$C$34)-CONFIGURACION!$C$55/($L$2*CONFIGURACION!$C$34)))/CONFIGURACION!$C$12+IF($L$2=1,0,-CONFIGURACION!$C$55/($L$2*CONFIGURACION!$C$34))</f>
        <v>15.037305593776008</v>
      </c>
      <c r="Q10" s="88">
        <f>'TABLA PRECIOS'!$L$12+CONFIGURACION!$C$23*('TABLA PRECIOS'!$D$12+CONFIGURACION!$D$34)</f>
        <v>16.216454961155268</v>
      </c>
      <c r="R10" s="84">
        <f>'TABLA PRECIOS'!$L$12+CONFIGURACION!$C$23*('TABLA PRECIOS'!$D$12+CONFIGURACION!$D$34)+IF($L$2=1,CONFIGURACION!$C$7/CONFIGURACION!$C$34,-CONFIGURACION!$C$7/($L$2*CONFIGURACION!$C$34)-CONFIGURACION!$C$55/($L$2*CONFIGURACION!$C$34))</f>
        <v>17.966454961155268</v>
      </c>
      <c r="S10" s="85">
        <f ca="1">('TABLA PRECIOS'!$L$12+CONFIGURACION!$C$23*('TABLA PRECIOS'!$D$12+CONFIGURACION!$D$34)+IF($L$2=1,CONFIGURACION!$C$7/CONFIGURACION!$C$34,-CONFIGURACION!$C$7/($L$2*CONFIGURACION!$C$34)-CONFIGURACION!$C$55/($L$2*CONFIGURACION!$C$34)))/CONFIGURACION!$C$12+IF($L$2=1,0,-CONFIGURACION!$C$55/($L$2*CONFIGURACION!$C$34))</f>
        <v>15.435098763879097</v>
      </c>
      <c r="T10" s="88">
        <f>'TABLA PRECIOS'!$L$12+CONFIGURACION!$C$24*('TABLA PRECIOS'!$D$12+CONFIGURACION!$D$34)</f>
        <v>21.001111211155269</v>
      </c>
      <c r="U10" s="84">
        <f>'TABLA PRECIOS'!$L$12+CONFIGURACION!$C$24*('TABLA PRECIOS'!$D$12+CONFIGURACION!$D$34)+IF($L$2=1,CONFIGURACION!$C$7/CONFIGURACION!$C$34,-CONFIGURACION!$C$7/($L$2*CONFIGURACION!$C$34)-CONFIGURACION!$C$55/($L$2*CONFIGURACION!$C$34))</f>
        <v>22.751111211155269</v>
      </c>
      <c r="V10" s="85">
        <f ca="1">('TABLA PRECIOS'!$L$12+CONFIGURACION!$C$24*('TABLA PRECIOS'!$D$12+CONFIGURACION!$D$34)+IF($L$2=1,CONFIGURACION!$C$7/CONFIGURACION!$C$34,-CONFIGURACION!$C$7/($L$2*CONFIGURACION!$C$34)-CONFIGURACION!$C$55/($L$2*CONFIGURACION!$C$34)))/CONFIGURACION!$C$12+IF($L$2=1,0,-CONFIGURACION!$C$55/($L$2*CONFIGURACION!$C$34))</f>
        <v>19.545628188277725</v>
      </c>
      <c r="W10" s="88">
        <f>'TABLA PRECIOS'!$L$12+CONFIGURACION!$C$25*('TABLA PRECIOS'!$D$12+CONFIGURACION!$D$34)</f>
        <v>16.525142461155269</v>
      </c>
      <c r="X10" s="84">
        <f>'TABLA PRECIOS'!$L$12+CONFIGURACION!$C$25*('TABLA PRECIOS'!$D$12+CONFIGURACION!$D$34)+IF($L$2=1,CONFIGURACION!$C$7/CONFIGURACION!$C$34,-CONFIGURACION!$C$7/($L$2*CONFIGURACION!$C$34)-CONFIGURACION!$C$55/($L$2*CONFIGURACION!$C$34))</f>
        <v>18.275142461155269</v>
      </c>
      <c r="Y10" s="85">
        <f ca="1">('TABLA PRECIOS'!$L$12+CONFIGURACION!$C$25*('TABLA PRECIOS'!$D$12+CONFIGURACION!$D$34)+IF($L$2=1,CONFIGURACION!$C$7/CONFIGURACION!$C$34,-CONFIGURACION!$C$7/($L$2*CONFIGURACION!$C$34)-CONFIGURACION!$C$55/($L$2*CONFIGURACION!$C$34)))/CONFIGURACION!$C$12+IF($L$2=1,0,-CONFIGURACION!$C$55/($L$2*CONFIGURACION!$C$34))</f>
        <v>15.700294210614494</v>
      </c>
      <c r="Z10" s="88">
        <f>'TABLA PRECIOS'!$L$12+CONFIGURACION!$C$26*('TABLA PRECIOS'!$D$12+CONFIGURACION!$D$34)</f>
        <v>11.277454961155268</v>
      </c>
      <c r="AA10" s="84">
        <f>'TABLA PRECIOS'!$L$12+CONFIGURACION!$C$26*('TABLA PRECIOS'!$D$12+CONFIGURACION!$D$34)+IF($L$2=1,CONFIGURACION!$C$7/CONFIGURACION!$C$34,-CONFIGURACION!$C$7/($L$2*CONFIGURACION!$C$34)-CONFIGURACION!$C$55/($L$2*CONFIGURACION!$C$34))</f>
        <v>13.027454961155268</v>
      </c>
      <c r="AB10" s="85">
        <f ca="1">('TABLA PRECIOS'!$L$12+CONFIGURACION!$C$26*('TABLA PRECIOS'!$D$12+CONFIGURACION!$D$34)+IF($L$2=1,CONFIGURACION!$C$7/CONFIGURACION!$C$34,-CONFIGURACION!$C$7/($L$2*CONFIGURACION!$C$34)-CONFIGURACION!$C$55/($L$2*CONFIGURACION!$C$34)))/CONFIGURACION!$C$12+IF($L$2=1,0,-CONFIGURACION!$C$55/($L$2*CONFIGURACION!$C$34))</f>
        <v>11.191971616112774</v>
      </c>
      <c r="AC10" s="88">
        <f>'TABLA PRECIOS'!$L$12+CONFIGURACION!$C$27*('TABLA PRECIOS'!$D$12+CONFIGURACION!$D$34)</f>
        <v>14.209986211155268</v>
      </c>
      <c r="AD10" s="84">
        <f>'TABLA PRECIOS'!$L$12+CONFIGURACION!$C$27*('TABLA PRECIOS'!$D$12+CONFIGURACION!$D$34)+IF($L$2=1,CONFIGURACION!$C$7/CONFIGURACION!$C$34,-CONFIGURACION!$C$7/($L$2*CONFIGURACION!$C$34)-CONFIGURACION!$C$55/($L$2*CONFIGURACION!$C$34))</f>
        <v>15.959986211155268</v>
      </c>
      <c r="AE10" s="85">
        <f ca="1">('TABLA PRECIOS'!$L$12+CONFIGURACION!$C$27*('TABLA PRECIOS'!$D$12+CONFIGURACION!$D$34)+IF($L$2=1,CONFIGURACION!$C$7/CONFIGURACION!$C$34,-CONFIGURACION!$C$7/($L$2*CONFIGURACION!$C$34)-CONFIGURACION!$C$55/($L$2*CONFIGURACION!$C$34)))/CONFIGURACION!$C$12+IF($L$2=1,0,-CONFIGURACION!$C$55/($L$2*CONFIGURACION!$C$34))</f>
        <v>13.711328360099028</v>
      </c>
    </row>
    <row r="11" spans="1:31" ht="17" customHeight="1" x14ac:dyDescent="0.2">
      <c r="B11" s="81" t="s">
        <v>56</v>
      </c>
      <c r="C11" s="17" t="s">
        <v>57</v>
      </c>
      <c r="D11" s="82">
        <v>2.5</v>
      </c>
      <c r="E11" s="83">
        <f>'TABLA PRECIOS'!$L$13+CONFIGURACION!$C$19*('TABLA PRECIOS'!$D$13+CONFIGURACION!$D$34)</f>
        <v>14.54933021184063</v>
      </c>
      <c r="F11" s="84">
        <f>'TABLA PRECIOS'!$L$13+CONFIGURACION!$C$19*('TABLA PRECIOS'!$D$13+CONFIGURACION!$D$34)+IF($L$2=1,CONFIGURACION!$C$7/CONFIGURACION!$C$34,-CONFIGURACION!$C$7/($L$2*CONFIGURACION!$C$34)-CONFIGURACION!$C$55/($L$2*CONFIGURACION!$C$34))</f>
        <v>16.29933021184063</v>
      </c>
      <c r="G11" s="85">
        <f ca="1">('TABLA PRECIOS'!$L$13+CONFIGURACION!$C$19*('TABLA PRECIOS'!$D$13+CONFIGURACION!$D$34)+IF($L$2=1,CONFIGURACION!$C$7/CONFIGURACION!$C$34,-CONFIGURACION!$C$7/($L$2*CONFIGURACION!$C$34)-CONFIGURACION!$C$55/($L$2*CONFIGURACION!$C$34)))/CONFIGURACION!$C$12+IF($L$2=1,0,-CONFIGURACION!$C$55/($L$2*CONFIGURACION!$C$34))</f>
        <v>14.002861006735937</v>
      </c>
      <c r="H11" s="83">
        <f>'TABLA PRECIOS'!$L$13+CONFIGURACION!$C$20*('TABLA PRECIOS'!$D$13+CONFIGURACION!$D$34)</f>
        <v>16.092767711840629</v>
      </c>
      <c r="I11" s="84">
        <f>'TABLA PRECIOS'!$L$13+CONFIGURACION!$C$20*('TABLA PRECIOS'!$D$13+CONFIGURACION!$D$34)+IF($L$2=1,CONFIGURACION!$C$7/CONFIGURACION!$C$34,-CONFIGURACION!$C$7/($L$2*CONFIGURACION!$C$34)-CONFIGURACION!$C$55/($L$2*CONFIGURACION!$C$34))</f>
        <v>17.842767711840629</v>
      </c>
      <c r="J11" s="85">
        <f ca="1">('TABLA PRECIOS'!$L$13+CONFIGURACION!$C$20*('TABLA PRECIOS'!$D$13+CONFIGURACION!$D$34)+IF($L$2=1,CONFIGURACION!$C$7/CONFIGURACION!$C$34,-CONFIGURACION!$C$7/($L$2*CONFIGURACION!$C$34)-CONFIGURACION!$C$55/($L$2*CONFIGURACION!$C$34)))/CONFIGURACION!$C$12+IF($L$2=1,0,-CONFIGURACION!$C$55/($L$2*CONFIGURACION!$C$34))</f>
        <v>15.328838240412912</v>
      </c>
      <c r="K11" s="83">
        <f>'TABLA PRECIOS'!$L$13+CONFIGURACION!$C$21*('TABLA PRECIOS'!$D$13+CONFIGURACION!$D$34)</f>
        <v>15.32104896184063</v>
      </c>
      <c r="L11" s="84">
        <f>'TABLA PRECIOS'!$L$13+CONFIGURACION!$C$21*('TABLA PRECIOS'!$D$13+CONFIGURACION!$D$34)+IF($L$2=1,CONFIGURACION!$C$7/CONFIGURACION!$C$34,-CONFIGURACION!$C$7/($L$2*CONFIGURACION!$C$34)-CONFIGURACION!$C$55/($L$2*CONFIGURACION!$C$34))</f>
        <v>17.071048961840631</v>
      </c>
      <c r="M11" s="85">
        <f ca="1">('TABLA PRECIOS'!$L$13+CONFIGURACION!$C$21*('TABLA PRECIOS'!$D$13+CONFIGURACION!$D$34)+IF($L$2=1,CONFIGURACION!$C$7/CONFIGURACION!$C$34,-CONFIGURACION!$C$7/($L$2*CONFIGURACION!$C$34)-CONFIGURACION!$C$55/($L$2*CONFIGURACION!$C$34)))/CONFIGURACION!$C$12+IF($L$2=1,0,-CONFIGURACION!$C$55/($L$2*CONFIGURACION!$C$34))</f>
        <v>14.665849623574427</v>
      </c>
      <c r="N11" s="83">
        <f>'TABLA PRECIOS'!$L$13+CONFIGURACION!$C$22*('TABLA PRECIOS'!$D$13+CONFIGURACION!$D$34)</f>
        <v>15.32104896184063</v>
      </c>
      <c r="O11" s="84">
        <f>'TABLA PRECIOS'!$L$13+CONFIGURACION!$C$22*('TABLA PRECIOS'!$D$13+CONFIGURACION!$D$34)+IF($L$2=1,CONFIGURACION!$C$7/CONFIGURACION!$C$34,-CONFIGURACION!$C$7/($L$2*CONFIGURACION!$C$34)-CONFIGURACION!$C$55/($L$2*CONFIGURACION!$C$34))</f>
        <v>17.071048961840631</v>
      </c>
      <c r="P11" s="85">
        <f ca="1">('TABLA PRECIOS'!$L$13+CONFIGURACION!$C$22*('TABLA PRECIOS'!$D$13+CONFIGURACION!$D$34)+IF($L$2=1,CONFIGURACION!$C$7/CONFIGURACION!$C$34,-CONFIGURACION!$C$7/($L$2*CONFIGURACION!$C$34)-CONFIGURACION!$C$55/($L$2*CONFIGURACION!$C$34)))/CONFIGURACION!$C$12+IF($L$2=1,0,-CONFIGURACION!$C$55/($L$2*CONFIGURACION!$C$34))</f>
        <v>14.665849623574427</v>
      </c>
      <c r="Q11" s="83">
        <f>'TABLA PRECIOS'!$L$13+CONFIGURACION!$C$23*('TABLA PRECIOS'!$D$13+CONFIGURACION!$D$34)</f>
        <v>15.784080211840628</v>
      </c>
      <c r="R11" s="84">
        <f>'TABLA PRECIOS'!$L$13+CONFIGURACION!$C$23*('TABLA PRECIOS'!$D$13+CONFIGURACION!$D$34)+IF($L$2=1,CONFIGURACION!$C$7/CONFIGURACION!$C$34,-CONFIGURACION!$C$7/($L$2*CONFIGURACION!$C$34)-CONFIGURACION!$C$55/($L$2*CONFIGURACION!$C$34))</f>
        <v>17.534080211840628</v>
      </c>
      <c r="S11" s="85">
        <f ca="1">('TABLA PRECIOS'!$L$13+CONFIGURACION!$C$23*('TABLA PRECIOS'!$D$13+CONFIGURACION!$D$34)+IF($L$2=1,CONFIGURACION!$C$7/CONFIGURACION!$C$34,-CONFIGURACION!$C$7/($L$2*CONFIGURACION!$C$34)-CONFIGURACION!$C$55/($L$2*CONFIGURACION!$C$34)))/CONFIGURACION!$C$12+IF($L$2=1,0,-CONFIGURACION!$C$55/($L$2*CONFIGURACION!$C$34))</f>
        <v>15.063642793677516</v>
      </c>
      <c r="T11" s="83">
        <f>'TABLA PRECIOS'!$L$13+CONFIGURACION!$C$24*('TABLA PRECIOS'!$D$13+CONFIGURACION!$D$34)</f>
        <v>20.568736461840629</v>
      </c>
      <c r="U11" s="84">
        <f>'TABLA PRECIOS'!$L$13+CONFIGURACION!$C$24*('TABLA PRECIOS'!$D$13+CONFIGURACION!$D$34)+IF($L$2=1,CONFIGURACION!$C$7/CONFIGURACION!$C$34,-CONFIGURACION!$C$7/($L$2*CONFIGURACION!$C$34)-CONFIGURACION!$C$55/($L$2*CONFIGURACION!$C$34))</f>
        <v>22.318736461840629</v>
      </c>
      <c r="V11" s="85">
        <f ca="1">('TABLA PRECIOS'!$L$13+CONFIGURACION!$C$24*('TABLA PRECIOS'!$D$13+CONFIGURACION!$D$34)+IF($L$2=1,CONFIGURACION!$C$7/CONFIGURACION!$C$34,-CONFIGURACION!$C$7/($L$2*CONFIGURACION!$C$34)-CONFIGURACION!$C$55/($L$2*CONFIGURACION!$C$34)))/CONFIGURACION!$C$12+IF($L$2=1,0,-CONFIGURACION!$C$55/($L$2*CONFIGURACION!$C$34))</f>
        <v>19.174172218076144</v>
      </c>
      <c r="W11" s="83">
        <f>'TABLA PRECIOS'!$L$13+CONFIGURACION!$C$25*('TABLA PRECIOS'!$D$13+CONFIGURACION!$D$34)</f>
        <v>16.092767711840629</v>
      </c>
      <c r="X11" s="84">
        <f>'TABLA PRECIOS'!$L$13+CONFIGURACION!$C$25*('TABLA PRECIOS'!$D$13+CONFIGURACION!$D$34)+IF($L$2=1,CONFIGURACION!$C$7/CONFIGURACION!$C$34,-CONFIGURACION!$C$7/($L$2*CONFIGURACION!$C$34)-CONFIGURACION!$C$55/($L$2*CONFIGURACION!$C$34))</f>
        <v>17.842767711840629</v>
      </c>
      <c r="Y11" s="85">
        <f ca="1">('TABLA PRECIOS'!$L$13+CONFIGURACION!$C$25*('TABLA PRECIOS'!$D$13+CONFIGURACION!$D$34)+IF($L$2=1,CONFIGURACION!$C$7/CONFIGURACION!$C$34,-CONFIGURACION!$C$7/($L$2*CONFIGURACION!$C$34)-CONFIGURACION!$C$55/($L$2*CONFIGURACION!$C$34)))/CONFIGURACION!$C$12+IF($L$2=1,0,-CONFIGURACION!$C$55/($L$2*CONFIGURACION!$C$34))</f>
        <v>15.328838240412912</v>
      </c>
      <c r="Z11" s="83">
        <f>'TABLA PRECIOS'!$L$13+CONFIGURACION!$C$26*('TABLA PRECIOS'!$D$13+CONFIGURACION!$D$34)</f>
        <v>10.845080211840628</v>
      </c>
      <c r="AA11" s="84">
        <f>'TABLA PRECIOS'!$L$13+CONFIGURACION!$C$26*('TABLA PRECIOS'!$D$13+CONFIGURACION!$D$34)+IF($L$2=1,CONFIGURACION!$C$7/CONFIGURACION!$C$34,-CONFIGURACION!$C$7/($L$2*CONFIGURACION!$C$34)-CONFIGURACION!$C$55/($L$2*CONFIGURACION!$C$34))</f>
        <v>12.595080211840628</v>
      </c>
      <c r="AB11" s="85">
        <f ca="1">('TABLA PRECIOS'!$L$13+CONFIGURACION!$C$26*('TABLA PRECIOS'!$D$13+CONFIGURACION!$D$34)+IF($L$2=1,CONFIGURACION!$C$7/CONFIGURACION!$C$34,-CONFIGURACION!$C$7/($L$2*CONFIGURACION!$C$34)-CONFIGURACION!$C$55/($L$2*CONFIGURACION!$C$34)))/CONFIGURACION!$C$12+IF($L$2=1,0,-CONFIGURACION!$C$55/($L$2*CONFIGURACION!$C$34))</f>
        <v>10.820515645911193</v>
      </c>
      <c r="AC11" s="83">
        <f>'TABLA PRECIOS'!$L$13+CONFIGURACION!$C$27*('TABLA PRECIOS'!$D$13+CONFIGURACION!$D$34)</f>
        <v>13.777611461840628</v>
      </c>
      <c r="AD11" s="84">
        <f>'TABLA PRECIOS'!$L$13+CONFIGURACION!$C$27*('TABLA PRECIOS'!$D$13+CONFIGURACION!$D$34)+IF($L$2=1,CONFIGURACION!$C$7/CONFIGURACION!$C$34,-CONFIGURACION!$C$7/($L$2*CONFIGURACION!$C$34)-CONFIGURACION!$C$55/($L$2*CONFIGURACION!$C$34))</f>
        <v>15.527611461840628</v>
      </c>
      <c r="AE11" s="85">
        <f ca="1">('TABLA PRECIOS'!$L$13+CONFIGURACION!$C$27*('TABLA PRECIOS'!$D$13+CONFIGURACION!$D$34)+IF($L$2=1,CONFIGURACION!$C$7/CONFIGURACION!$C$34,-CONFIGURACION!$C$7/($L$2*CONFIGURACION!$C$34)-CONFIGURACION!$C$55/($L$2*CONFIGURACION!$C$34)))/CONFIGURACION!$C$12+IF($L$2=1,0,-CONFIGURACION!$C$55/($L$2*CONFIGURACION!$C$34))</f>
        <v>13.339872389897447</v>
      </c>
    </row>
    <row r="12" spans="1:31" ht="17" customHeight="1" x14ac:dyDescent="0.2">
      <c r="B12" s="86" t="s">
        <v>58</v>
      </c>
      <c r="C12" s="21" t="s">
        <v>59</v>
      </c>
      <c r="D12" s="87">
        <v>4</v>
      </c>
      <c r="E12" s="88">
        <f>'TABLA PRECIOS'!$L$14+CONFIGURACION!$C$19*('TABLA PRECIOS'!$D$14+CONFIGURACION!$D$36)</f>
        <v>26.148761392332418</v>
      </c>
      <c r="F12" s="84">
        <f>'TABLA PRECIOS'!$L$14+CONFIGURACION!$C$19*('TABLA PRECIOS'!$D$14+CONFIGURACION!$D$36)+IF($L$2=1,CONFIGURACION!$C$7/CONFIGURACION!$C$36,-CONFIGURACION!$C$7/($L$2*CONFIGURACION!$C$36)-CONFIGURACION!$C$55/($L$2*CONFIGURACION!$C$36))</f>
        <v>27.898761392332418</v>
      </c>
      <c r="G12" s="85">
        <f ca="1">('TABLA PRECIOS'!$L$14+CONFIGURACION!$C$19*('TABLA PRECIOS'!$D$14+CONFIGURACION!$D$36)+IF($L$2=1,CONFIGURACION!$C$7/CONFIGURACION!$C$36,-CONFIGURACION!$C$7/($L$2*CONFIGURACION!$C$36)-CONFIGURACION!$C$55/($L$2*CONFIGURACION!$C$36)))/CONFIGURACION!$C$12+IF($L$2=1,0,-CONFIGURACION!$C$55/($L$2*CONFIGURACION!$C$36))</f>
        <v>23.968008069014108</v>
      </c>
      <c r="H12" s="88">
        <f>'TABLA PRECIOS'!$L$14+CONFIGURACION!$C$20*('TABLA PRECIOS'!$D$14+CONFIGURACION!$D$36)</f>
        <v>28.442198892332417</v>
      </c>
      <c r="I12" s="84">
        <f>'TABLA PRECIOS'!$L$14+CONFIGURACION!$C$20*('TABLA PRECIOS'!$D$14+CONFIGURACION!$D$36)+IF($L$2=1,CONFIGURACION!$C$7/CONFIGURACION!$C$36,-CONFIGURACION!$C$7/($L$2*CONFIGURACION!$C$36)-CONFIGURACION!$C$55/($L$2*CONFIGURACION!$C$36))</f>
        <v>30.192198892332417</v>
      </c>
      <c r="J12" s="85">
        <f ca="1">('TABLA PRECIOS'!$L$14+CONFIGURACION!$C$20*('TABLA PRECIOS'!$D$14+CONFIGURACION!$D$36)+IF($L$2=1,CONFIGURACION!$C$7/CONFIGURACION!$C$36,-CONFIGURACION!$C$7/($L$2*CONFIGURACION!$C$36)-CONFIGURACION!$C$55/($L$2*CONFIGURACION!$C$36)))/CONFIGURACION!$C$12+IF($L$2=1,0,-CONFIGURACION!$C$55/($L$2*CONFIGURACION!$C$36))</f>
        <v>25.9383151995983</v>
      </c>
      <c r="K12" s="88">
        <f>'TABLA PRECIOS'!$L$14+CONFIGURACION!$C$21*('TABLA PRECIOS'!$D$14+CONFIGURACION!$D$36)</f>
        <v>27.295480142332416</v>
      </c>
      <c r="L12" s="84">
        <f>'TABLA PRECIOS'!$L$14+CONFIGURACION!$C$21*('TABLA PRECIOS'!$D$14+CONFIGURACION!$D$36)+IF($L$2=1,CONFIGURACION!$C$7/CONFIGURACION!$C$36,-CONFIGURACION!$C$7/($L$2*CONFIGURACION!$C$36)-CONFIGURACION!$C$55/($L$2*CONFIGURACION!$C$36))</f>
        <v>29.045480142332416</v>
      </c>
      <c r="M12" s="85">
        <f ca="1">('TABLA PRECIOS'!$L$14+CONFIGURACION!$C$21*('TABLA PRECIOS'!$D$14+CONFIGURACION!$D$36)+IF($L$2=1,CONFIGURACION!$C$7/CONFIGURACION!$C$36,-CONFIGURACION!$C$7/($L$2*CONFIGURACION!$C$36)-CONFIGURACION!$C$55/($L$2*CONFIGURACION!$C$36)))/CONFIGURACION!$C$12+IF($L$2=1,0,-CONFIGURACION!$C$55/($L$2*CONFIGURACION!$C$36))</f>
        <v>24.953161634306202</v>
      </c>
      <c r="N12" s="88">
        <f>'TABLA PRECIOS'!$L$14+CONFIGURACION!$C$22*('TABLA PRECIOS'!$D$14+CONFIGURACION!$D$36)</f>
        <v>27.295480142332416</v>
      </c>
      <c r="O12" s="84">
        <f>'TABLA PRECIOS'!$L$14+CONFIGURACION!$C$22*('TABLA PRECIOS'!$D$14+CONFIGURACION!$D$36)+IF($L$2=1,CONFIGURACION!$C$7/CONFIGURACION!$C$36,-CONFIGURACION!$C$7/($L$2*CONFIGURACION!$C$36)-CONFIGURACION!$C$55/($L$2*CONFIGURACION!$C$36))</f>
        <v>29.045480142332416</v>
      </c>
      <c r="P12" s="85">
        <f ca="1">('TABLA PRECIOS'!$L$14+CONFIGURACION!$C$22*('TABLA PRECIOS'!$D$14+CONFIGURACION!$D$36)+IF($L$2=1,CONFIGURACION!$C$7/CONFIGURACION!$C$36,-CONFIGURACION!$C$7/($L$2*CONFIGURACION!$C$36)-CONFIGURACION!$C$55/($L$2*CONFIGURACION!$C$36)))/CONFIGURACION!$C$12+IF($L$2=1,0,-CONFIGURACION!$C$55/($L$2*CONFIGURACION!$C$36))</f>
        <v>24.953161634306202</v>
      </c>
      <c r="Q12" s="88">
        <f>'TABLA PRECIOS'!$L$14+CONFIGURACION!$C$23*('TABLA PRECIOS'!$D$14+CONFIGURACION!$D$36)</f>
        <v>27.983511392332417</v>
      </c>
      <c r="R12" s="84">
        <f>'TABLA PRECIOS'!$L$14+CONFIGURACION!$C$23*('TABLA PRECIOS'!$D$14+CONFIGURACION!$D$36)+IF($L$2=1,CONFIGURACION!$C$7/CONFIGURACION!$C$36,-CONFIGURACION!$C$7/($L$2*CONFIGURACION!$C$36)-CONFIGURACION!$C$55/($L$2*CONFIGURACION!$C$36))</f>
        <v>29.733511392332417</v>
      </c>
      <c r="S12" s="85">
        <f ca="1">('TABLA PRECIOS'!$L$14+CONFIGURACION!$C$23*('TABLA PRECIOS'!$D$14+CONFIGURACION!$D$36)+IF($L$2=1,CONFIGURACION!$C$7/CONFIGURACION!$C$36,-CONFIGURACION!$C$7/($L$2*CONFIGURACION!$C$36)-CONFIGURACION!$C$55/($L$2*CONFIGURACION!$C$36)))/CONFIGURACION!$C$12+IF($L$2=1,0,-CONFIGURACION!$C$55/($L$2*CONFIGURACION!$C$36))</f>
        <v>25.544253773481461</v>
      </c>
      <c r="T12" s="88">
        <f>'TABLA PRECIOS'!$L$14+CONFIGURACION!$C$24*('TABLA PRECIOS'!$D$14+CONFIGURACION!$D$36)</f>
        <v>35.093167642332418</v>
      </c>
      <c r="U12" s="84">
        <f>'TABLA PRECIOS'!$L$14+CONFIGURACION!$C$24*('TABLA PRECIOS'!$D$14+CONFIGURACION!$D$36)+IF($L$2=1,CONFIGURACION!$C$7/CONFIGURACION!$C$36,-CONFIGURACION!$C$7/($L$2*CONFIGURACION!$C$36)-CONFIGURACION!$C$55/($L$2*CONFIGURACION!$C$36))</f>
        <v>36.843167642332418</v>
      </c>
      <c r="V12" s="85">
        <f ca="1">('TABLA PRECIOS'!$L$14+CONFIGURACION!$C$24*('TABLA PRECIOS'!$D$14+CONFIGURACION!$D$36)+IF($L$2=1,CONFIGURACION!$C$7/CONFIGURACION!$C$36,-CONFIGURACION!$C$7/($L$2*CONFIGURACION!$C$36)-CONFIGURACION!$C$55/($L$2*CONFIGURACION!$C$36)))/CONFIGURACION!$C$12+IF($L$2=1,0,-CONFIGURACION!$C$55/($L$2*CONFIGURACION!$C$36))</f>
        <v>31.652205878292456</v>
      </c>
      <c r="W12" s="88">
        <f>'TABLA PRECIOS'!$L$14+CONFIGURACION!$C$25*('TABLA PRECIOS'!$D$14+CONFIGURACION!$D$36)</f>
        <v>28.442198892332417</v>
      </c>
      <c r="X12" s="84">
        <f>'TABLA PRECIOS'!$L$14+CONFIGURACION!$C$25*('TABLA PRECIOS'!$D$14+CONFIGURACION!$D$36)+IF($L$2=1,CONFIGURACION!$C$7/CONFIGURACION!$C$36,-CONFIGURACION!$C$7/($L$2*CONFIGURACION!$C$36)-CONFIGURACION!$C$55/($L$2*CONFIGURACION!$C$36))</f>
        <v>30.192198892332417</v>
      </c>
      <c r="Y12" s="85">
        <f ca="1">('TABLA PRECIOS'!$L$14+CONFIGURACION!$C$25*('TABLA PRECIOS'!$D$14+CONFIGURACION!$D$36)+IF($L$2=1,CONFIGURACION!$C$7/CONFIGURACION!$C$36,-CONFIGURACION!$C$7/($L$2*CONFIGURACION!$C$36)-CONFIGURACION!$C$55/($L$2*CONFIGURACION!$C$36)))/CONFIGURACION!$C$12+IF($L$2=1,0,-CONFIGURACION!$C$55/($L$2*CONFIGURACION!$C$36))</f>
        <v>25.9383151995983</v>
      </c>
      <c r="Z12" s="88">
        <f>'TABLA PRECIOS'!$L$14+CONFIGURACION!$C$26*('TABLA PRECIOS'!$D$14+CONFIGURACION!$D$36)</f>
        <v>20.644511392332415</v>
      </c>
      <c r="AA12" s="84">
        <f>'TABLA PRECIOS'!$L$14+CONFIGURACION!$C$26*('TABLA PRECIOS'!$D$14+CONFIGURACION!$D$36)+IF($L$2=1,CONFIGURACION!$C$7/CONFIGURACION!$C$36,-CONFIGURACION!$C$7/($L$2*CONFIGURACION!$C$36)-CONFIGURACION!$C$55/($L$2*CONFIGURACION!$C$36))</f>
        <v>22.394511392332415</v>
      </c>
      <c r="AB12" s="85">
        <f ca="1">('TABLA PRECIOS'!$L$14+CONFIGURACION!$C$26*('TABLA PRECIOS'!$D$14+CONFIGURACION!$D$36)+IF($L$2=1,CONFIGURACION!$C$7/CONFIGURACION!$C$36,-CONFIGURACION!$C$7/($L$2*CONFIGURACION!$C$36)-CONFIGURACION!$C$55/($L$2*CONFIGURACION!$C$36)))/CONFIGURACION!$C$12+IF($L$2=1,0,-CONFIGURACION!$C$55/($L$2*CONFIGURACION!$C$36))</f>
        <v>19.239270955612042</v>
      </c>
      <c r="AC12" s="88">
        <f>'TABLA PRECIOS'!$L$14+CONFIGURACION!$C$27*('TABLA PRECIOS'!$D$14+CONFIGURACION!$D$36)</f>
        <v>25.002042642332416</v>
      </c>
      <c r="AD12" s="84">
        <f>'TABLA PRECIOS'!$L$14+CONFIGURACION!$C$27*('TABLA PRECIOS'!$D$14+CONFIGURACION!$D$36)+IF($L$2=1,CONFIGURACION!$C$7/CONFIGURACION!$C$36,-CONFIGURACION!$C$7/($L$2*CONFIGURACION!$C$36)-CONFIGURACION!$C$55/($L$2*CONFIGURACION!$C$36))</f>
        <v>26.752042642332416</v>
      </c>
      <c r="AE12" s="85">
        <f ca="1">('TABLA PRECIOS'!$L$14+CONFIGURACION!$C$27*('TABLA PRECIOS'!$D$14+CONFIGURACION!$D$36)+IF($L$2=1,CONFIGURACION!$C$7/CONFIGURACION!$C$36,-CONFIGURACION!$C$7/($L$2*CONFIGURACION!$C$36)-CONFIGURACION!$C$55/($L$2*CONFIGURACION!$C$36)))/CONFIGURACION!$C$12+IF($L$2=1,0,-CONFIGURACION!$C$55/($L$2*CONFIGURACION!$C$36))</f>
        <v>22.98285450372201</v>
      </c>
    </row>
    <row r="13" spans="1:31" ht="17" customHeight="1" x14ac:dyDescent="0.2">
      <c r="B13" s="81" t="s">
        <v>60</v>
      </c>
      <c r="C13" s="17" t="s">
        <v>61</v>
      </c>
      <c r="D13" s="82">
        <v>3</v>
      </c>
      <c r="E13" s="83">
        <f>'TABLA PRECIOS'!$L$15+CONFIGURACION!$C$19*('TABLA PRECIOS'!$D$15+CONFIGURACION!$D$34)</f>
        <v>14.38761726464079</v>
      </c>
      <c r="F13" s="84">
        <f>'TABLA PRECIOS'!$L$15+CONFIGURACION!$C$19*('TABLA PRECIOS'!$D$15+CONFIGURACION!$D$34)+IF($L$2=1,CONFIGURACION!$C$7/CONFIGURACION!$C$34,-CONFIGURACION!$C$7/($L$2*CONFIGURACION!$C$34)-CONFIGURACION!$C$55/($L$2*CONFIGURACION!$C$34))</f>
        <v>16.137617264640788</v>
      </c>
      <c r="G13" s="85">
        <f ca="1">('TABLA PRECIOS'!$L$15+CONFIGURACION!$C$19*('TABLA PRECIOS'!$D$15+CONFIGURACION!$D$34)+IF($L$2=1,CONFIGURACION!$C$7/CONFIGURACION!$C$34,-CONFIGURACION!$C$7/($L$2*CONFIGURACION!$C$34)-CONFIGURACION!$C$55/($L$2*CONFIGURACION!$C$34)))/CONFIGURACION!$C$12+IF($L$2=1,0,-CONFIGURACION!$C$55/($L$2*CONFIGURACION!$C$34))</f>
        <v>13.863932357938822</v>
      </c>
      <c r="H13" s="83">
        <f>'TABLA PRECIOS'!$L$15+CONFIGURACION!$C$20*('TABLA PRECIOS'!$D$15+CONFIGURACION!$D$34)</f>
        <v>16.181054764640791</v>
      </c>
      <c r="I13" s="84">
        <f>'TABLA PRECIOS'!$L$15+CONFIGURACION!$C$20*('TABLA PRECIOS'!$D$15+CONFIGURACION!$D$34)+IF($L$2=1,CONFIGURACION!$C$7/CONFIGURACION!$C$34,-CONFIGURACION!$C$7/($L$2*CONFIGURACION!$C$34)-CONFIGURACION!$C$55/($L$2*CONFIGURACION!$C$34))</f>
        <v>17.931054764640791</v>
      </c>
      <c r="J13" s="85">
        <f ca="1">('TABLA PRECIOS'!$L$15+CONFIGURACION!$C$20*('TABLA PRECIOS'!$D$15+CONFIGURACION!$D$34)+IF($L$2=1,CONFIGURACION!$C$7/CONFIGURACION!$C$34,-CONFIGURACION!$C$7/($L$2*CONFIGURACION!$C$34)-CONFIGURACION!$C$55/($L$2*CONFIGURACION!$C$34)))/CONFIGURACION!$C$12+IF($L$2=1,0,-CONFIGURACION!$C$55/($L$2*CONFIGURACION!$C$34))</f>
        <v>15.404686223918207</v>
      </c>
      <c r="K13" s="83">
        <f>'TABLA PRECIOS'!$L$15+CONFIGURACION!$C$21*('TABLA PRECIOS'!$D$15+CONFIGURACION!$D$34)</f>
        <v>15.28433601464079</v>
      </c>
      <c r="L13" s="84">
        <f>'TABLA PRECIOS'!$L$15+CONFIGURACION!$C$21*('TABLA PRECIOS'!$D$15+CONFIGURACION!$D$34)+IF($L$2=1,CONFIGURACION!$C$7/CONFIGURACION!$C$34,-CONFIGURACION!$C$7/($L$2*CONFIGURACION!$C$34)-CONFIGURACION!$C$55/($L$2*CONFIGURACION!$C$34))</f>
        <v>17.03433601464079</v>
      </c>
      <c r="M13" s="85">
        <f ca="1">('TABLA PRECIOS'!$L$15+CONFIGURACION!$C$21*('TABLA PRECIOS'!$D$15+CONFIGURACION!$D$34)+IF($L$2=1,CONFIGURACION!$C$7/CONFIGURACION!$C$34,-CONFIGURACION!$C$7/($L$2*CONFIGURACION!$C$34)-CONFIGURACION!$C$55/($L$2*CONFIGURACION!$C$34)))/CONFIGURACION!$C$12+IF($L$2=1,0,-CONFIGURACION!$C$55/($L$2*CONFIGURACION!$C$34))</f>
        <v>14.634309290928515</v>
      </c>
      <c r="N13" s="83">
        <f>'TABLA PRECIOS'!$L$15+CONFIGURACION!$C$22*('TABLA PRECIOS'!$D$15+CONFIGURACION!$D$34)</f>
        <v>15.28433601464079</v>
      </c>
      <c r="O13" s="84">
        <f>'TABLA PRECIOS'!$L$15+CONFIGURACION!$C$22*('TABLA PRECIOS'!$D$15+CONFIGURACION!$D$34)+IF($L$2=1,CONFIGURACION!$C$7/CONFIGURACION!$C$34,-CONFIGURACION!$C$7/($L$2*CONFIGURACION!$C$34)-CONFIGURACION!$C$55/($L$2*CONFIGURACION!$C$34))</f>
        <v>17.03433601464079</v>
      </c>
      <c r="P13" s="85">
        <f ca="1">('TABLA PRECIOS'!$L$15+CONFIGURACION!$C$22*('TABLA PRECIOS'!$D$15+CONFIGURACION!$D$34)+IF($L$2=1,CONFIGURACION!$C$7/CONFIGURACION!$C$34,-CONFIGURACION!$C$7/($L$2*CONFIGURACION!$C$34)-CONFIGURACION!$C$55/($L$2*CONFIGURACION!$C$34)))/CONFIGURACION!$C$12+IF($L$2=1,0,-CONFIGURACION!$C$55/($L$2*CONFIGURACION!$C$34))</f>
        <v>14.634309290928515</v>
      </c>
      <c r="Q13" s="83">
        <f>'TABLA PRECIOS'!$L$15+CONFIGURACION!$C$23*('TABLA PRECIOS'!$D$15+CONFIGURACION!$D$34)</f>
        <v>15.822367264640789</v>
      </c>
      <c r="R13" s="84">
        <f>'TABLA PRECIOS'!$L$15+CONFIGURACION!$C$23*('TABLA PRECIOS'!$D$15+CONFIGURACION!$D$34)+IF($L$2=1,CONFIGURACION!$C$7/CONFIGURACION!$C$34,-CONFIGURACION!$C$7/($L$2*CONFIGURACION!$C$34)-CONFIGURACION!$C$55/($L$2*CONFIGURACION!$C$34))</f>
        <v>17.572367264640789</v>
      </c>
      <c r="S13" s="85">
        <f ca="1">('TABLA PRECIOS'!$L$15+CONFIGURACION!$C$23*('TABLA PRECIOS'!$D$15+CONFIGURACION!$D$34)+IF($L$2=1,CONFIGURACION!$C$7/CONFIGURACION!$C$34,-CONFIGURACION!$C$7/($L$2*CONFIGURACION!$C$34)-CONFIGURACION!$C$55/($L$2*CONFIGURACION!$C$34)))/CONFIGURACION!$C$12+IF($L$2=1,0,-CONFIGURACION!$C$55/($L$2*CONFIGURACION!$C$34))</f>
        <v>15.096535450722328</v>
      </c>
      <c r="T13" s="83">
        <f>'TABLA PRECIOS'!$L$15+CONFIGURACION!$C$24*('TABLA PRECIOS'!$D$15+CONFIGURACION!$D$34)</f>
        <v>21.382023514640789</v>
      </c>
      <c r="U13" s="84">
        <f>'TABLA PRECIOS'!$L$15+CONFIGURACION!$C$24*('TABLA PRECIOS'!$D$15+CONFIGURACION!$D$34)+IF($L$2=1,CONFIGURACION!$C$7/CONFIGURACION!$C$34,-CONFIGURACION!$C$7/($L$2*CONFIGURACION!$C$34)-CONFIGURACION!$C$55/($L$2*CONFIGURACION!$C$34))</f>
        <v>23.132023514640789</v>
      </c>
      <c r="V13" s="85">
        <f ca="1">('TABLA PRECIOS'!$L$15+CONFIGURACION!$C$24*('TABLA PRECIOS'!$D$15+CONFIGURACION!$D$34)+IF($L$2=1,CONFIGURACION!$C$7/CONFIGURACION!$C$34,-CONFIGURACION!$C$7/($L$2*CONFIGURACION!$C$34)-CONFIGURACION!$C$55/($L$2*CONFIGURACION!$C$34)))/CONFIGURACION!$C$12+IF($L$2=1,0,-CONFIGURACION!$C$55/($L$2*CONFIGURACION!$C$34))</f>
        <v>19.872872435258412</v>
      </c>
      <c r="W13" s="83">
        <f>'TABLA PRECIOS'!$L$15+CONFIGURACION!$C$25*('TABLA PRECIOS'!$D$15+CONFIGURACION!$D$34)</f>
        <v>16.181054764640791</v>
      </c>
      <c r="X13" s="84">
        <f>'TABLA PRECIOS'!$L$15+CONFIGURACION!$C$25*('TABLA PRECIOS'!$D$15+CONFIGURACION!$D$34)+IF($L$2=1,CONFIGURACION!$C$7/CONFIGURACION!$C$34,-CONFIGURACION!$C$7/($L$2*CONFIGURACION!$C$34)-CONFIGURACION!$C$55/($L$2*CONFIGURACION!$C$34))</f>
        <v>17.931054764640791</v>
      </c>
      <c r="Y13" s="85">
        <f ca="1">('TABLA PRECIOS'!$L$15+CONFIGURACION!$C$25*('TABLA PRECIOS'!$D$15+CONFIGURACION!$D$34)+IF($L$2=1,CONFIGURACION!$C$7/CONFIGURACION!$C$34,-CONFIGURACION!$C$7/($L$2*CONFIGURACION!$C$34)-CONFIGURACION!$C$55/($L$2*CONFIGURACION!$C$34)))/CONFIGURACION!$C$12+IF($L$2=1,0,-CONFIGURACION!$C$55/($L$2*CONFIGURACION!$C$34))</f>
        <v>15.404686223918207</v>
      </c>
      <c r="Z13" s="83">
        <f>'TABLA PRECIOS'!$L$15+CONFIGURACION!$C$26*('TABLA PRECIOS'!$D$15+CONFIGURACION!$D$34)</f>
        <v>10.083367264640788</v>
      </c>
      <c r="AA13" s="84">
        <f>'TABLA PRECIOS'!$L$15+CONFIGURACION!$C$26*('TABLA PRECIOS'!$D$15+CONFIGURACION!$D$34)+IF($L$2=1,CONFIGURACION!$C$7/CONFIGURACION!$C$34,-CONFIGURACION!$C$7/($L$2*CONFIGURACION!$C$34)-CONFIGURACION!$C$55/($L$2*CONFIGURACION!$C$34))</f>
        <v>11.833367264640788</v>
      </c>
      <c r="AB13" s="85">
        <f ca="1">('TABLA PRECIOS'!$L$15+CONFIGURACION!$C$26*('TABLA PRECIOS'!$D$15+CONFIGURACION!$D$34)+IF($L$2=1,CONFIGURACION!$C$7/CONFIGURACION!$C$34,-CONFIGURACION!$C$7/($L$2*CONFIGURACION!$C$34)-CONFIGURACION!$C$55/($L$2*CONFIGURACION!$C$34)))/CONFIGURACION!$C$12+IF($L$2=1,0,-CONFIGURACION!$C$55/($L$2*CONFIGURACION!$C$34))</f>
        <v>10.166123079588306</v>
      </c>
      <c r="AC13" s="83">
        <f>'TABLA PRECIOS'!$L$15+CONFIGURACION!$C$27*('TABLA PRECIOS'!$D$15+CONFIGURACION!$D$34)</f>
        <v>13.49089851464079</v>
      </c>
      <c r="AD13" s="84">
        <f>'TABLA PRECIOS'!$L$15+CONFIGURACION!$C$27*('TABLA PRECIOS'!$D$15+CONFIGURACION!$D$34)+IF($L$2=1,CONFIGURACION!$C$7/CONFIGURACION!$C$34,-CONFIGURACION!$C$7/($L$2*CONFIGURACION!$C$34)-CONFIGURACION!$C$55/($L$2*CONFIGURACION!$C$34))</f>
        <v>15.24089851464079</v>
      </c>
      <c r="AE13" s="85">
        <f ca="1">('TABLA PRECIOS'!$L$15+CONFIGURACION!$C$27*('TABLA PRECIOS'!$D$15+CONFIGURACION!$D$34)+IF($L$2=1,CONFIGURACION!$C$7/CONFIGURACION!$C$34,-CONFIGURACION!$C$7/($L$2*CONFIGURACION!$C$34)-CONFIGURACION!$C$55/($L$2*CONFIGURACION!$C$34)))/CONFIGURACION!$C$12+IF($L$2=1,0,-CONFIGURACION!$C$55/($L$2*CONFIGURACION!$C$34))</f>
        <v>13.093555424949134</v>
      </c>
    </row>
    <row r="14" spans="1:31" ht="17" customHeight="1" x14ac:dyDescent="0.2">
      <c r="B14" s="86" t="s">
        <v>62</v>
      </c>
      <c r="C14" s="21" t="s">
        <v>63</v>
      </c>
      <c r="D14" s="87">
        <v>3</v>
      </c>
      <c r="E14" s="88">
        <f>'TABLA PRECIOS'!$L$16+CONFIGURACION!$C$19*('TABLA PRECIOS'!$D$16+CONFIGURACION!$D$35)</f>
        <v>16.805994341563789</v>
      </c>
      <c r="F14" s="84">
        <f>'TABLA PRECIOS'!$L$16+CONFIGURACION!$C$19*('TABLA PRECIOS'!$D$16+CONFIGURACION!$D$35)+IF($L$2=1,CONFIGURACION!$C$7/CONFIGURACION!$C$35,-CONFIGURACION!$C$7/($L$2*CONFIGURACION!$C$35)-CONFIGURACION!$C$55/($L$2*CONFIGURACION!$C$35))</f>
        <v>19.139327674897121</v>
      </c>
      <c r="G14" s="85">
        <f ca="1">('TABLA PRECIOS'!$L$16+CONFIGURACION!$C$19*('TABLA PRECIOS'!$D$16+CONFIGURACION!$D$35)+IF($L$2=1,CONFIGURACION!$C$7/CONFIGURACION!$C$35,-CONFIGURACION!$C$7/($L$2*CONFIGURACION!$C$35)-CONFIGURACION!$C$55/($L$2*CONFIGURACION!$C$35)))/CONFIGURACION!$C$12+IF($L$2=1,0,-CONFIGURACION!$C$55/($L$2*CONFIGURACION!$C$35))</f>
        <v>16.442721370186533</v>
      </c>
      <c r="H14" s="88">
        <f>'TABLA PRECIOS'!$L$16+CONFIGURACION!$C$20*('TABLA PRECIOS'!$D$16+CONFIGURACION!$D$35)</f>
        <v>18.630577674897118</v>
      </c>
      <c r="I14" s="84">
        <f>'TABLA PRECIOS'!$L$16+CONFIGURACION!$C$20*('TABLA PRECIOS'!$D$16+CONFIGURACION!$D$35)+IF($L$2=1,CONFIGURACION!$C$7/CONFIGURACION!$C$35,-CONFIGURACION!$C$7/($L$2*CONFIGURACION!$C$35)-CONFIGURACION!$C$55/($L$2*CONFIGURACION!$C$35))</f>
        <v>20.963911008230451</v>
      </c>
      <c r="J14" s="85">
        <f ca="1">('TABLA PRECIOS'!$L$16+CONFIGURACION!$C$20*('TABLA PRECIOS'!$D$16+CONFIGURACION!$D$35)+IF($L$2=1,CONFIGURACION!$C$7/CONFIGURACION!$C$35,-CONFIGURACION!$C$7/($L$2*CONFIGURACION!$C$35)-CONFIGURACION!$C$55/($L$2*CONFIGURACION!$C$35)))/CONFIGURACION!$C$12+IF($L$2=1,0,-CONFIGURACION!$C$55/($L$2*CONFIGURACION!$C$35))</f>
        <v>18.01023282494025</v>
      </c>
      <c r="K14" s="88">
        <f>'TABLA PRECIOS'!$L$16+CONFIGURACION!$C$21*('TABLA PRECIOS'!$D$16+CONFIGURACION!$D$35)</f>
        <v>17.718286008230454</v>
      </c>
      <c r="L14" s="84">
        <f>'TABLA PRECIOS'!$L$16+CONFIGURACION!$C$21*('TABLA PRECIOS'!$D$16+CONFIGURACION!$D$35)+IF($L$2=1,CONFIGURACION!$C$7/CONFIGURACION!$C$35,-CONFIGURACION!$C$7/($L$2*CONFIGURACION!$C$35)-CONFIGURACION!$C$55/($L$2*CONFIGURACION!$C$35))</f>
        <v>20.051619341563786</v>
      </c>
      <c r="M14" s="85">
        <f ca="1">('TABLA PRECIOS'!$L$16+CONFIGURACION!$C$21*('TABLA PRECIOS'!$D$16+CONFIGURACION!$D$35)+IF($L$2=1,CONFIGURACION!$C$7/CONFIGURACION!$C$35,-CONFIGURACION!$C$7/($L$2*CONFIGURACION!$C$35)-CONFIGURACION!$C$55/($L$2*CONFIGURACION!$C$35)))/CONFIGURACION!$C$12+IF($L$2=1,0,-CONFIGURACION!$C$55/($L$2*CONFIGURACION!$C$35))</f>
        <v>17.226477097563389</v>
      </c>
      <c r="N14" s="88">
        <f>'TABLA PRECIOS'!$L$16+CONFIGURACION!$C$22*('TABLA PRECIOS'!$D$16+CONFIGURACION!$D$35)</f>
        <v>17.718286008230454</v>
      </c>
      <c r="O14" s="84">
        <f>'TABLA PRECIOS'!$L$16+CONFIGURACION!$C$22*('TABLA PRECIOS'!$D$16+CONFIGURACION!$D$35)+IF($L$2=1,CONFIGURACION!$C$7/CONFIGURACION!$C$35,-CONFIGURACION!$C$7/($L$2*CONFIGURACION!$C$35)-CONFIGURACION!$C$55/($L$2*CONFIGURACION!$C$35))</f>
        <v>20.051619341563786</v>
      </c>
      <c r="P14" s="85">
        <f ca="1">('TABLA PRECIOS'!$L$16+CONFIGURACION!$C$22*('TABLA PRECIOS'!$D$16+CONFIGURACION!$D$35)+IF($L$2=1,CONFIGURACION!$C$7/CONFIGURACION!$C$35,-CONFIGURACION!$C$7/($L$2*CONFIGURACION!$C$35)-CONFIGURACION!$C$55/($L$2*CONFIGURACION!$C$35)))/CONFIGURACION!$C$12+IF($L$2=1,0,-CONFIGURACION!$C$55/($L$2*CONFIGURACION!$C$35))</f>
        <v>17.226477097563389</v>
      </c>
      <c r="Q14" s="88">
        <f>'TABLA PRECIOS'!$L$16+CONFIGURACION!$C$23*('TABLA PRECIOS'!$D$16+CONFIGURACION!$D$35)</f>
        <v>18.265661008230452</v>
      </c>
      <c r="R14" s="84">
        <f>'TABLA PRECIOS'!$L$16+CONFIGURACION!$C$23*('TABLA PRECIOS'!$D$16+CONFIGURACION!$D$35)+IF($L$2=1,CONFIGURACION!$C$7/CONFIGURACION!$C$35,-CONFIGURACION!$C$7/($L$2*CONFIGURACION!$C$35)-CONFIGURACION!$C$55/($L$2*CONFIGURACION!$C$35))</f>
        <v>20.598994341563785</v>
      </c>
      <c r="S14" s="85">
        <f ca="1">('TABLA PRECIOS'!$L$16+CONFIGURACION!$C$23*('TABLA PRECIOS'!$D$16+CONFIGURACION!$D$35)+IF($L$2=1,CONFIGURACION!$C$7/CONFIGURACION!$C$35,-CONFIGURACION!$C$7/($L$2*CONFIGURACION!$C$35)-CONFIGURACION!$C$55/($L$2*CONFIGURACION!$C$35)))/CONFIGURACION!$C$12+IF($L$2=1,0,-CONFIGURACION!$C$55/($L$2*CONFIGURACION!$C$35))</f>
        <v>17.696730533989506</v>
      </c>
      <c r="T14" s="88">
        <f>'TABLA PRECIOS'!$L$16+CONFIGURACION!$C$24*('TABLA PRECIOS'!$D$16+CONFIGURACION!$D$35)</f>
        <v>23.921869341563784</v>
      </c>
      <c r="U14" s="84">
        <f>'TABLA PRECIOS'!$L$16+CONFIGURACION!$C$24*('TABLA PRECIOS'!$D$16+CONFIGURACION!$D$35)+IF($L$2=1,CONFIGURACION!$C$7/CONFIGURACION!$C$35,-CONFIGURACION!$C$7/($L$2*CONFIGURACION!$C$35)-CONFIGURACION!$C$55/($L$2*CONFIGURACION!$C$35))</f>
        <v>26.255202674897117</v>
      </c>
      <c r="V14" s="85">
        <f ca="1">('TABLA PRECIOS'!$L$16+CONFIGURACION!$C$24*('TABLA PRECIOS'!$D$16+CONFIGURACION!$D$35)+IF($L$2=1,CONFIGURACION!$C$7/CONFIGURACION!$C$35,-CONFIGURACION!$C$7/($L$2*CONFIGURACION!$C$35)-CONFIGURACION!$C$55/($L$2*CONFIGURACION!$C$35)))/CONFIGURACION!$C$12+IF($L$2=1,0,-CONFIGURACION!$C$55/($L$2*CONFIGURACION!$C$35))</f>
        <v>22.556016043726046</v>
      </c>
      <c r="W14" s="88">
        <f>'TABLA PRECIOS'!$L$16+CONFIGURACION!$C$25*('TABLA PRECIOS'!$D$16+CONFIGURACION!$D$35)</f>
        <v>18.630577674897118</v>
      </c>
      <c r="X14" s="84">
        <f>'TABLA PRECIOS'!$L$16+CONFIGURACION!$C$25*('TABLA PRECIOS'!$D$16+CONFIGURACION!$D$35)+IF($L$2=1,CONFIGURACION!$C$7/CONFIGURACION!$C$35,-CONFIGURACION!$C$7/($L$2*CONFIGURACION!$C$35)-CONFIGURACION!$C$55/($L$2*CONFIGURACION!$C$35))</f>
        <v>20.963911008230451</v>
      </c>
      <c r="Y14" s="85">
        <f ca="1">('TABLA PRECIOS'!$L$16+CONFIGURACION!$C$25*('TABLA PRECIOS'!$D$16+CONFIGURACION!$D$35)+IF($L$2=1,CONFIGURACION!$C$7/CONFIGURACION!$C$35,-CONFIGURACION!$C$7/($L$2*CONFIGURACION!$C$35)-CONFIGURACION!$C$55/($L$2*CONFIGURACION!$C$35)))/CONFIGURACION!$C$12+IF($L$2=1,0,-CONFIGURACION!$C$55/($L$2*CONFIGURACION!$C$35))</f>
        <v>18.01023282494025</v>
      </c>
      <c r="Z14" s="88">
        <f>'TABLA PRECIOS'!$L$16+CONFIGURACION!$C$26*('TABLA PRECIOS'!$D$16+CONFIGURACION!$D$35)</f>
        <v>12.426994341563786</v>
      </c>
      <c r="AA14" s="84">
        <f>'TABLA PRECIOS'!$L$16+CONFIGURACION!$C$26*('TABLA PRECIOS'!$D$16+CONFIGURACION!$D$35)+IF($L$2=1,CONFIGURACION!$C$7/CONFIGURACION!$C$35,-CONFIGURACION!$C$7/($L$2*CONFIGURACION!$C$35)-CONFIGURACION!$C$55/($L$2*CONFIGURACION!$C$35))</f>
        <v>14.76032767489712</v>
      </c>
      <c r="AB14" s="85">
        <f ca="1">('TABLA PRECIOS'!$L$16+CONFIGURACION!$C$26*('TABLA PRECIOS'!$D$16+CONFIGURACION!$D$35)+IF($L$2=1,CONFIGURACION!$C$7/CONFIGURACION!$C$35,-CONFIGURACION!$C$7/($L$2*CONFIGURACION!$C$35)-CONFIGURACION!$C$55/($L$2*CONFIGURACION!$C$35)))/CONFIGURACION!$C$12+IF($L$2=1,0,-CONFIGURACION!$C$55/($L$2*CONFIGURACION!$C$35))</f>
        <v>12.680693878777594</v>
      </c>
      <c r="AC14" s="88">
        <f>'TABLA PRECIOS'!$L$16+CONFIGURACION!$C$27*('TABLA PRECIOS'!$D$16+CONFIGURACION!$D$35)</f>
        <v>15.893702674897121</v>
      </c>
      <c r="AD14" s="84">
        <f>'TABLA PRECIOS'!$L$16+CONFIGURACION!$C$27*('TABLA PRECIOS'!$D$16+CONFIGURACION!$D$35)+IF($L$2=1,CONFIGURACION!$C$7/CONFIGURACION!$C$35,-CONFIGURACION!$C$7/($L$2*CONFIGURACION!$C$35)-CONFIGURACION!$C$55/($L$2*CONFIGURACION!$C$35))</f>
        <v>18.227036008230453</v>
      </c>
      <c r="AE14" s="85">
        <f ca="1">('TABLA PRECIOS'!$L$16+CONFIGURACION!$C$27*('TABLA PRECIOS'!$D$16+CONFIGURACION!$D$35)+IF($L$2=1,CONFIGURACION!$C$7/CONFIGURACION!$C$35,-CONFIGURACION!$C$7/($L$2*CONFIGURACION!$C$35)-CONFIGURACION!$C$55/($L$2*CONFIGURACION!$C$35)))/CONFIGURACION!$C$12+IF($L$2=1,0,-CONFIGURACION!$C$55/($L$2*CONFIGURACION!$C$35))</f>
        <v>15.658965642809669</v>
      </c>
    </row>
    <row r="15" spans="1:31" ht="17" customHeight="1" x14ac:dyDescent="0.2">
      <c r="B15" s="81" t="s">
        <v>64</v>
      </c>
      <c r="C15" s="17" t="s">
        <v>65</v>
      </c>
      <c r="D15" s="82">
        <v>3</v>
      </c>
      <c r="E15" s="83">
        <f>'TABLA PRECIOS'!$L$17+CONFIGURACION!$C$19*('TABLA PRECIOS'!$D$17+CONFIGURACION!$D$35)</f>
        <v>19.720322811447812</v>
      </c>
      <c r="F15" s="84">
        <f>'TABLA PRECIOS'!$L$17+CONFIGURACION!$C$19*('TABLA PRECIOS'!$D$17+CONFIGURACION!$D$35)+IF($L$2=1,CONFIGURACION!$C$7/CONFIGURACION!$C$35,-CONFIGURACION!$C$7/($L$2*CONFIGURACION!$C$35)-CONFIGURACION!$C$55/($L$2*CONFIGURACION!$C$35))</f>
        <v>22.053656144781144</v>
      </c>
      <c r="G15" s="85">
        <f ca="1">('TABLA PRECIOS'!$L$17+CONFIGURACION!$C$19*('TABLA PRECIOS'!$D$17+CONFIGURACION!$D$35)+IF($L$2=1,CONFIGURACION!$C$7/CONFIGURACION!$C$35,-CONFIGURACION!$C$7/($L$2*CONFIGURACION!$C$35)-CONFIGURACION!$C$55/($L$2*CONFIGURACION!$C$35)))/CONFIGURACION!$C$12+IF($L$2=1,0,-CONFIGURACION!$C$55/($L$2*CONFIGURACION!$C$35))</f>
        <v>18.946439986925384</v>
      </c>
      <c r="H15" s="83">
        <f>'TABLA PRECIOS'!$L$17+CONFIGURACION!$C$20*('TABLA PRECIOS'!$D$17+CONFIGURACION!$D$35)</f>
        <v>21.544906144781145</v>
      </c>
      <c r="I15" s="84">
        <f>'TABLA PRECIOS'!$L$17+CONFIGURACION!$C$20*('TABLA PRECIOS'!$D$17+CONFIGURACION!$D$35)+IF($L$2=1,CONFIGURACION!$C$7/CONFIGURACION!$C$35,-CONFIGURACION!$C$7/($L$2*CONFIGURACION!$C$35)-CONFIGURACION!$C$55/($L$2*CONFIGURACION!$C$35))</f>
        <v>23.878239478114477</v>
      </c>
      <c r="J15" s="85">
        <f ca="1">('TABLA PRECIOS'!$L$17+CONFIGURACION!$C$20*('TABLA PRECIOS'!$D$17+CONFIGURACION!$D$35)+IF($L$2=1,CONFIGURACION!$C$7/CONFIGURACION!$C$35,-CONFIGURACION!$C$7/($L$2*CONFIGURACION!$C$35)-CONFIGURACION!$C$55/($L$2*CONFIGURACION!$C$35)))/CONFIGURACION!$C$12+IF($L$2=1,0,-CONFIGURACION!$C$55/($L$2*CONFIGURACION!$C$35))</f>
        <v>20.513951441679104</v>
      </c>
      <c r="K15" s="83">
        <f>'TABLA PRECIOS'!$L$17+CONFIGURACION!$C$21*('TABLA PRECIOS'!$D$17+CONFIGURACION!$D$35)</f>
        <v>20.632614478114476</v>
      </c>
      <c r="L15" s="84">
        <f>'TABLA PRECIOS'!$L$17+CONFIGURACION!$C$21*('TABLA PRECIOS'!$D$17+CONFIGURACION!$D$35)+IF($L$2=1,CONFIGURACION!$C$7/CONFIGURACION!$C$35,-CONFIGURACION!$C$7/($L$2*CONFIGURACION!$C$35)-CONFIGURACION!$C$55/($L$2*CONFIGURACION!$C$35))</f>
        <v>22.965947811447808</v>
      </c>
      <c r="M15" s="85">
        <f ca="1">('TABLA PRECIOS'!$L$17+CONFIGURACION!$C$21*('TABLA PRECIOS'!$D$17+CONFIGURACION!$D$35)+IF($L$2=1,CONFIGURACION!$C$7/CONFIGURACION!$C$35,-CONFIGURACION!$C$7/($L$2*CONFIGURACION!$C$35)-CONFIGURACION!$C$55/($L$2*CONFIGURACION!$C$35)))/CONFIGURACION!$C$12+IF($L$2=1,0,-CONFIGURACION!$C$55/($L$2*CONFIGURACION!$C$35))</f>
        <v>19.730195714302241</v>
      </c>
      <c r="N15" s="83">
        <f>'TABLA PRECIOS'!$L$17+CONFIGURACION!$C$22*('TABLA PRECIOS'!$D$17+CONFIGURACION!$D$35)</f>
        <v>20.632614478114476</v>
      </c>
      <c r="O15" s="84">
        <f>'TABLA PRECIOS'!$L$17+CONFIGURACION!$C$22*('TABLA PRECIOS'!$D$17+CONFIGURACION!$D$35)+IF($L$2=1,CONFIGURACION!$C$7/CONFIGURACION!$C$35,-CONFIGURACION!$C$7/($L$2*CONFIGURACION!$C$35)-CONFIGURACION!$C$55/($L$2*CONFIGURACION!$C$35))</f>
        <v>22.965947811447808</v>
      </c>
      <c r="P15" s="85">
        <f ca="1">('TABLA PRECIOS'!$L$17+CONFIGURACION!$C$22*('TABLA PRECIOS'!$D$17+CONFIGURACION!$D$35)+IF($L$2=1,CONFIGURACION!$C$7/CONFIGURACION!$C$35,-CONFIGURACION!$C$7/($L$2*CONFIGURACION!$C$35)-CONFIGURACION!$C$55/($L$2*CONFIGURACION!$C$35)))/CONFIGURACION!$C$12+IF($L$2=1,0,-CONFIGURACION!$C$55/($L$2*CONFIGURACION!$C$35))</f>
        <v>19.730195714302241</v>
      </c>
      <c r="Q15" s="83">
        <f>'TABLA PRECIOS'!$L$17+CONFIGURACION!$C$23*('TABLA PRECIOS'!$D$17+CONFIGURACION!$D$35)</f>
        <v>21.179989478114479</v>
      </c>
      <c r="R15" s="84">
        <f>'TABLA PRECIOS'!$L$17+CONFIGURACION!$C$23*('TABLA PRECIOS'!$D$17+CONFIGURACION!$D$35)+IF($L$2=1,CONFIGURACION!$C$7/CONFIGURACION!$C$35,-CONFIGURACION!$C$7/($L$2*CONFIGURACION!$C$35)-CONFIGURACION!$C$55/($L$2*CONFIGURACION!$C$35))</f>
        <v>23.513322811447811</v>
      </c>
      <c r="S15" s="85">
        <f ca="1">('TABLA PRECIOS'!$L$17+CONFIGURACION!$C$23*('TABLA PRECIOS'!$D$17+CONFIGURACION!$D$35)+IF($L$2=1,CONFIGURACION!$C$7/CONFIGURACION!$C$35,-CONFIGURACION!$C$7/($L$2*CONFIGURACION!$C$35)-CONFIGURACION!$C$55/($L$2*CONFIGURACION!$C$35)))/CONFIGURACION!$C$12+IF($L$2=1,0,-CONFIGURACION!$C$55/($L$2*CONFIGURACION!$C$35))</f>
        <v>20.20044915072836</v>
      </c>
      <c r="T15" s="83">
        <f>'TABLA PRECIOS'!$L$17+CONFIGURACION!$C$24*('TABLA PRECIOS'!$D$17+CONFIGURACION!$D$35)</f>
        <v>26.836197811447811</v>
      </c>
      <c r="U15" s="84">
        <f>'TABLA PRECIOS'!$L$17+CONFIGURACION!$C$24*('TABLA PRECIOS'!$D$17+CONFIGURACION!$D$35)+IF($L$2=1,CONFIGURACION!$C$7/CONFIGURACION!$C$35,-CONFIGURACION!$C$7/($L$2*CONFIGURACION!$C$35)-CONFIGURACION!$C$55/($L$2*CONFIGURACION!$C$35))</f>
        <v>29.169531144781143</v>
      </c>
      <c r="V15" s="85">
        <f ca="1">('TABLA PRECIOS'!$L$17+CONFIGURACION!$C$24*('TABLA PRECIOS'!$D$17+CONFIGURACION!$D$35)+IF($L$2=1,CONFIGURACION!$C$7/CONFIGURACION!$C$35,-CONFIGURACION!$C$7/($L$2*CONFIGURACION!$C$35)-CONFIGURACION!$C$55/($L$2*CONFIGURACION!$C$35)))/CONFIGURACION!$C$12+IF($L$2=1,0,-CONFIGURACION!$C$55/($L$2*CONFIGURACION!$C$35))</f>
        <v>25.059734660464901</v>
      </c>
      <c r="W15" s="83">
        <f>'TABLA PRECIOS'!$L$17+CONFIGURACION!$C$25*('TABLA PRECIOS'!$D$17+CONFIGURACION!$D$35)</f>
        <v>21.544906144781145</v>
      </c>
      <c r="X15" s="84">
        <f>'TABLA PRECIOS'!$L$17+CONFIGURACION!$C$25*('TABLA PRECIOS'!$D$17+CONFIGURACION!$D$35)+IF($L$2=1,CONFIGURACION!$C$7/CONFIGURACION!$C$35,-CONFIGURACION!$C$7/($L$2*CONFIGURACION!$C$35)-CONFIGURACION!$C$55/($L$2*CONFIGURACION!$C$35))</f>
        <v>23.878239478114477</v>
      </c>
      <c r="Y15" s="85">
        <f ca="1">('TABLA PRECIOS'!$L$17+CONFIGURACION!$C$25*('TABLA PRECIOS'!$D$17+CONFIGURACION!$D$35)+IF($L$2=1,CONFIGURACION!$C$7/CONFIGURACION!$C$35,-CONFIGURACION!$C$7/($L$2*CONFIGURACION!$C$35)-CONFIGURACION!$C$55/($L$2*CONFIGURACION!$C$35)))/CONFIGURACION!$C$12+IF($L$2=1,0,-CONFIGURACION!$C$55/($L$2*CONFIGURACION!$C$35))</f>
        <v>20.513951441679104</v>
      </c>
      <c r="Z15" s="83">
        <f>'TABLA PRECIOS'!$L$17+CONFIGURACION!$C$26*('TABLA PRECIOS'!$D$17+CONFIGURACION!$D$35)</f>
        <v>15.34132281144781</v>
      </c>
      <c r="AA15" s="84">
        <f>'TABLA PRECIOS'!$L$17+CONFIGURACION!$C$26*('TABLA PRECIOS'!$D$17+CONFIGURACION!$D$35)+IF($L$2=1,CONFIGURACION!$C$7/CONFIGURACION!$C$35,-CONFIGURACION!$C$7/($L$2*CONFIGURACION!$C$35)-CONFIGURACION!$C$55/($L$2*CONFIGURACION!$C$35))</f>
        <v>17.674656144781142</v>
      </c>
      <c r="AB15" s="85">
        <f ca="1">('TABLA PRECIOS'!$L$17+CONFIGURACION!$C$26*('TABLA PRECIOS'!$D$17+CONFIGURACION!$D$35)+IF($L$2=1,CONFIGURACION!$C$7/CONFIGURACION!$C$35,-CONFIGURACION!$C$7/($L$2*CONFIGURACION!$C$35)-CONFIGURACION!$C$55/($L$2*CONFIGURACION!$C$35)))/CONFIGURACION!$C$12+IF($L$2=1,0,-CONFIGURACION!$C$55/($L$2*CONFIGURACION!$C$35))</f>
        <v>15.184412495516446</v>
      </c>
      <c r="AC15" s="83">
        <f>'TABLA PRECIOS'!$L$17+CONFIGURACION!$C$27*('TABLA PRECIOS'!$D$17+CONFIGURACION!$D$35)</f>
        <v>18.808031144781143</v>
      </c>
      <c r="AD15" s="84">
        <f>'TABLA PRECIOS'!$L$17+CONFIGURACION!$C$27*('TABLA PRECIOS'!$D$17+CONFIGURACION!$D$35)+IF($L$2=1,CONFIGURACION!$C$7/CONFIGURACION!$C$35,-CONFIGURACION!$C$7/($L$2*CONFIGURACION!$C$35)-CONFIGURACION!$C$55/($L$2*CONFIGURACION!$C$35))</f>
        <v>21.141364478114475</v>
      </c>
      <c r="AE15" s="85">
        <f ca="1">('TABLA PRECIOS'!$L$17+CONFIGURACION!$C$27*('TABLA PRECIOS'!$D$17+CONFIGURACION!$D$35)+IF($L$2=1,CONFIGURACION!$C$7/CONFIGURACION!$C$35,-CONFIGURACION!$C$7/($L$2*CONFIGURACION!$C$35)-CONFIGURACION!$C$55/($L$2*CONFIGURACION!$C$35)))/CONFIGURACION!$C$12+IF($L$2=1,0,-CONFIGURACION!$C$55/($L$2*CONFIGURACION!$C$35))</f>
        <v>18.16268425954852</v>
      </c>
    </row>
    <row r="16" spans="1:31" ht="17" customHeight="1" x14ac:dyDescent="0.2">
      <c r="B16" s="86" t="s">
        <v>66</v>
      </c>
      <c r="C16" s="21" t="s">
        <v>67</v>
      </c>
      <c r="D16" s="87">
        <v>4</v>
      </c>
      <c r="E16" s="88">
        <f>'TABLA PRECIOS'!$L$18+CONFIGURACION!$C$19*('TABLA PRECIOS'!$D$18+CONFIGURACION!$D$36)</f>
        <v>20.235421025413714</v>
      </c>
      <c r="F16" s="84">
        <f>'TABLA PRECIOS'!$L$18+CONFIGURACION!$C$19*('TABLA PRECIOS'!$D$18+CONFIGURACION!$D$36)+IF($L$2=1,CONFIGURACION!$C$7/CONFIGURACION!$C$36,-CONFIGURACION!$C$7/($L$2*CONFIGURACION!$C$36)-CONFIGURACION!$C$55/($L$2*CONFIGURACION!$C$36))</f>
        <v>21.985421025413714</v>
      </c>
      <c r="G16" s="85">
        <f ca="1">('TABLA PRECIOS'!$L$18+CONFIGURACION!$C$19*('TABLA PRECIOS'!$D$18+CONFIGURACION!$D$36)+IF($L$2=1,CONFIGURACION!$C$7/CONFIGURACION!$C$36,-CONFIGURACION!$C$7/($L$2*CONFIGURACION!$C$36)-CONFIGURACION!$C$55/($L$2*CONFIGURACION!$C$36)))/CONFIGURACION!$C$12+IF($L$2=1,0,-CONFIGURACION!$C$55/($L$2*CONFIGURACION!$C$36))</f>
        <v>18.887818750355425</v>
      </c>
      <c r="H16" s="88">
        <f>'TABLA PRECIOS'!$L$18+CONFIGURACION!$C$20*('TABLA PRECIOS'!$D$18+CONFIGURACION!$D$36)</f>
        <v>22.528858525413714</v>
      </c>
      <c r="I16" s="84">
        <f>'TABLA PRECIOS'!$L$18+CONFIGURACION!$C$20*('TABLA PRECIOS'!$D$18+CONFIGURACION!$D$36)+IF($L$2=1,CONFIGURACION!$C$7/CONFIGURACION!$C$36,-CONFIGURACION!$C$7/($L$2*CONFIGURACION!$C$36)-CONFIGURACION!$C$55/($L$2*CONFIGURACION!$C$36))</f>
        <v>24.278858525413714</v>
      </c>
      <c r="J16" s="85">
        <f ca="1">('TABLA PRECIOS'!$L$18+CONFIGURACION!$C$20*('TABLA PRECIOS'!$D$18+CONFIGURACION!$D$36)+IF($L$2=1,CONFIGURACION!$C$7/CONFIGURACION!$C$36,-CONFIGURACION!$C$7/($L$2*CONFIGURACION!$C$36)-CONFIGURACION!$C$55/($L$2*CONFIGURACION!$C$36)))/CONFIGURACION!$C$12+IF($L$2=1,0,-CONFIGURACION!$C$55/($L$2*CONFIGURACION!$C$36))</f>
        <v>20.858125880939618</v>
      </c>
      <c r="K16" s="88">
        <f>'TABLA PRECIOS'!$L$18+CONFIGURACION!$C$21*('TABLA PRECIOS'!$D$18+CONFIGURACION!$D$36)</f>
        <v>21.382139775413712</v>
      </c>
      <c r="L16" s="84">
        <f>'TABLA PRECIOS'!$L$18+CONFIGURACION!$C$21*('TABLA PRECIOS'!$D$18+CONFIGURACION!$D$36)+IF($L$2=1,CONFIGURACION!$C$7/CONFIGURACION!$C$36,-CONFIGURACION!$C$7/($L$2*CONFIGURACION!$C$36)-CONFIGURACION!$C$55/($L$2*CONFIGURACION!$C$36))</f>
        <v>23.132139775413712</v>
      </c>
      <c r="M16" s="85">
        <f ca="1">('TABLA PRECIOS'!$L$18+CONFIGURACION!$C$21*('TABLA PRECIOS'!$D$18+CONFIGURACION!$D$36)+IF($L$2=1,CONFIGURACION!$C$7/CONFIGURACION!$C$36,-CONFIGURACION!$C$7/($L$2*CONFIGURACION!$C$36)-CONFIGURACION!$C$55/($L$2*CONFIGURACION!$C$36)))/CONFIGURACION!$C$12+IF($L$2=1,0,-CONFIGURACION!$C$55/($L$2*CONFIGURACION!$C$36))</f>
        <v>19.87297231564752</v>
      </c>
      <c r="N16" s="88">
        <f>'TABLA PRECIOS'!$L$18+CONFIGURACION!$C$22*('TABLA PRECIOS'!$D$18+CONFIGURACION!$D$36)</f>
        <v>21.382139775413712</v>
      </c>
      <c r="O16" s="84">
        <f>'TABLA PRECIOS'!$L$18+CONFIGURACION!$C$22*('TABLA PRECIOS'!$D$18+CONFIGURACION!$D$36)+IF($L$2=1,CONFIGURACION!$C$7/CONFIGURACION!$C$36,-CONFIGURACION!$C$7/($L$2*CONFIGURACION!$C$36)-CONFIGURACION!$C$55/($L$2*CONFIGURACION!$C$36))</f>
        <v>23.132139775413712</v>
      </c>
      <c r="P16" s="85">
        <f ca="1">('TABLA PRECIOS'!$L$18+CONFIGURACION!$C$22*('TABLA PRECIOS'!$D$18+CONFIGURACION!$D$36)+IF($L$2=1,CONFIGURACION!$C$7/CONFIGURACION!$C$36,-CONFIGURACION!$C$7/($L$2*CONFIGURACION!$C$36)-CONFIGURACION!$C$55/($L$2*CONFIGURACION!$C$36)))/CONFIGURACION!$C$12+IF($L$2=1,0,-CONFIGURACION!$C$55/($L$2*CONFIGURACION!$C$36))</f>
        <v>19.87297231564752</v>
      </c>
      <c r="Q16" s="88">
        <f>'TABLA PRECIOS'!$L$18+CONFIGURACION!$C$23*('TABLA PRECIOS'!$D$18+CONFIGURACION!$D$36)</f>
        <v>22.070171025413714</v>
      </c>
      <c r="R16" s="84">
        <f>'TABLA PRECIOS'!$L$18+CONFIGURACION!$C$23*('TABLA PRECIOS'!$D$18+CONFIGURACION!$D$36)+IF($L$2=1,CONFIGURACION!$C$7/CONFIGURACION!$C$36,-CONFIGURACION!$C$7/($L$2*CONFIGURACION!$C$36)-CONFIGURACION!$C$55/($L$2*CONFIGURACION!$C$36))</f>
        <v>23.820171025413714</v>
      </c>
      <c r="S16" s="85">
        <f ca="1">('TABLA PRECIOS'!$L$18+CONFIGURACION!$C$23*('TABLA PRECIOS'!$D$18+CONFIGURACION!$D$36)+IF($L$2=1,CONFIGURACION!$C$7/CONFIGURACION!$C$36,-CONFIGURACION!$C$7/($L$2*CONFIGURACION!$C$36)-CONFIGURACION!$C$55/($L$2*CONFIGURACION!$C$36)))/CONFIGURACION!$C$12+IF($L$2=1,0,-CONFIGURACION!$C$55/($L$2*CONFIGURACION!$C$36))</f>
        <v>20.464064454822779</v>
      </c>
      <c r="T16" s="88">
        <f>'TABLA PRECIOS'!$L$18+CONFIGURACION!$C$24*('TABLA PRECIOS'!$D$18+CONFIGURACION!$D$36)</f>
        <v>29.179827275413714</v>
      </c>
      <c r="U16" s="84">
        <f>'TABLA PRECIOS'!$L$18+CONFIGURACION!$C$24*('TABLA PRECIOS'!$D$18+CONFIGURACION!$D$36)+IF($L$2=1,CONFIGURACION!$C$7/CONFIGURACION!$C$36,-CONFIGURACION!$C$7/($L$2*CONFIGURACION!$C$36)-CONFIGURACION!$C$55/($L$2*CONFIGURACION!$C$36))</f>
        <v>30.929827275413714</v>
      </c>
      <c r="V16" s="85">
        <f ca="1">('TABLA PRECIOS'!$L$18+CONFIGURACION!$C$24*('TABLA PRECIOS'!$D$18+CONFIGURACION!$D$36)+IF($L$2=1,CONFIGURACION!$C$7/CONFIGURACION!$C$36,-CONFIGURACION!$C$7/($L$2*CONFIGURACION!$C$36)-CONFIGURACION!$C$55/($L$2*CONFIGURACION!$C$36)))/CONFIGURACION!$C$12+IF($L$2=1,0,-CONFIGURACION!$C$55/($L$2*CONFIGURACION!$C$36))</f>
        <v>26.572016559633777</v>
      </c>
      <c r="W16" s="88">
        <f>'TABLA PRECIOS'!$L$18+CONFIGURACION!$C$25*('TABLA PRECIOS'!$D$18+CONFIGURACION!$D$36)</f>
        <v>22.528858525413714</v>
      </c>
      <c r="X16" s="84">
        <f>'TABLA PRECIOS'!$L$18+CONFIGURACION!$C$25*('TABLA PRECIOS'!$D$18+CONFIGURACION!$D$36)+IF($L$2=1,CONFIGURACION!$C$7/CONFIGURACION!$C$36,-CONFIGURACION!$C$7/($L$2*CONFIGURACION!$C$36)-CONFIGURACION!$C$55/($L$2*CONFIGURACION!$C$36))</f>
        <v>24.278858525413714</v>
      </c>
      <c r="Y16" s="85">
        <f ca="1">('TABLA PRECIOS'!$L$18+CONFIGURACION!$C$25*('TABLA PRECIOS'!$D$18+CONFIGURACION!$D$36)+IF($L$2=1,CONFIGURACION!$C$7/CONFIGURACION!$C$36,-CONFIGURACION!$C$7/($L$2*CONFIGURACION!$C$36)-CONFIGURACION!$C$55/($L$2*CONFIGURACION!$C$36)))/CONFIGURACION!$C$12+IF($L$2=1,0,-CONFIGURACION!$C$55/($L$2*CONFIGURACION!$C$36))</f>
        <v>20.858125880939618</v>
      </c>
      <c r="Z16" s="88">
        <f>'TABLA PRECIOS'!$L$18+CONFIGURACION!$C$26*('TABLA PRECIOS'!$D$18+CONFIGURACION!$D$36)</f>
        <v>14.731171025413712</v>
      </c>
      <c r="AA16" s="84">
        <f>'TABLA PRECIOS'!$L$18+CONFIGURACION!$C$26*('TABLA PRECIOS'!$D$18+CONFIGURACION!$D$36)+IF($L$2=1,CONFIGURACION!$C$7/CONFIGURACION!$C$36,-CONFIGURACION!$C$7/($L$2*CONFIGURACION!$C$36)-CONFIGURACION!$C$55/($L$2*CONFIGURACION!$C$36))</f>
        <v>16.481171025413712</v>
      </c>
      <c r="AB16" s="85">
        <f ca="1">('TABLA PRECIOS'!$L$18+CONFIGURACION!$C$26*('TABLA PRECIOS'!$D$18+CONFIGURACION!$D$36)+IF($L$2=1,CONFIGURACION!$C$7/CONFIGURACION!$C$36,-CONFIGURACION!$C$7/($L$2*CONFIGURACION!$C$36)-CONFIGURACION!$C$55/($L$2*CONFIGURACION!$C$36)))/CONFIGURACION!$C$12+IF($L$2=1,0,-CONFIGURACION!$C$55/($L$2*CONFIGURACION!$C$36))</f>
        <v>14.159081636953362</v>
      </c>
      <c r="AC16" s="88">
        <f>'TABLA PRECIOS'!$L$18+CONFIGURACION!$C$27*('TABLA PRECIOS'!$D$18+CONFIGURACION!$D$36)</f>
        <v>19.088702275413713</v>
      </c>
      <c r="AD16" s="84">
        <f>'TABLA PRECIOS'!$L$18+CONFIGURACION!$C$27*('TABLA PRECIOS'!$D$18+CONFIGURACION!$D$36)+IF($L$2=1,CONFIGURACION!$C$7/CONFIGURACION!$C$36,-CONFIGURACION!$C$7/($L$2*CONFIGURACION!$C$36)-CONFIGURACION!$C$55/($L$2*CONFIGURACION!$C$36))</f>
        <v>20.838702275413713</v>
      </c>
      <c r="AE16" s="85">
        <f ca="1">('TABLA PRECIOS'!$L$18+CONFIGURACION!$C$27*('TABLA PRECIOS'!$D$18+CONFIGURACION!$D$36)+IF($L$2=1,CONFIGURACION!$C$7/CONFIGURACION!$C$36,-CONFIGURACION!$C$7/($L$2*CONFIGURACION!$C$36)-CONFIGURACION!$C$55/($L$2*CONFIGURACION!$C$36)))/CONFIGURACION!$C$12+IF($L$2=1,0,-CONFIGURACION!$C$55/($L$2*CONFIGURACION!$C$36))</f>
        <v>17.902665185063327</v>
      </c>
    </row>
    <row r="17" spans="2:31" ht="17" customHeight="1" x14ac:dyDescent="0.2">
      <c r="B17" s="81" t="s">
        <v>68</v>
      </c>
      <c r="C17" s="17" t="s">
        <v>69</v>
      </c>
      <c r="D17" s="82">
        <v>4</v>
      </c>
      <c r="E17" s="83">
        <f>'TABLA PRECIOS'!$L$19+CONFIGURACION!$C$19*('TABLA PRECIOS'!$D$19+CONFIGURACION!$D$36)</f>
        <v>22.268796574214797</v>
      </c>
      <c r="F17" s="84">
        <f>'TABLA PRECIOS'!$L$19+CONFIGURACION!$C$19*('TABLA PRECIOS'!$D$19+CONFIGURACION!$D$36)+IF($L$2=1,CONFIGURACION!$C$7/CONFIGURACION!$C$36,-CONFIGURACION!$C$7/($L$2*CONFIGURACION!$C$36)-CONFIGURACION!$C$55/($L$2*CONFIGURACION!$C$36))</f>
        <v>24.018796574214797</v>
      </c>
      <c r="G17" s="85">
        <f ca="1">('TABLA PRECIOS'!$L$19+CONFIGURACION!$C$19*('TABLA PRECIOS'!$D$19+CONFIGURACION!$D$36)+IF($L$2=1,CONFIGURACION!$C$7/CONFIGURACION!$C$36,-CONFIGURACION!$C$7/($L$2*CONFIGURACION!$C$36)-CONFIGURACION!$C$55/($L$2*CONFIGURACION!$C$36)))/CONFIGURACION!$C$12+IF($L$2=1,0,-CONFIGURACION!$C$55/($L$2*CONFIGURACION!$C$36))</f>
        <v>20.634704960665633</v>
      </c>
      <c r="H17" s="83">
        <f>'TABLA PRECIOS'!$L$19+CONFIGURACION!$C$20*('TABLA PRECIOS'!$D$19+CONFIGURACION!$D$36)</f>
        <v>24.312234074214793</v>
      </c>
      <c r="I17" s="84">
        <f>'TABLA PRECIOS'!$L$19+CONFIGURACION!$C$20*('TABLA PRECIOS'!$D$19+CONFIGURACION!$D$36)+IF($L$2=1,CONFIGURACION!$C$7/CONFIGURACION!$C$36,-CONFIGURACION!$C$7/($L$2*CONFIGURACION!$C$36)-CONFIGURACION!$C$55/($L$2*CONFIGURACION!$C$36))</f>
        <v>26.062234074214793</v>
      </c>
      <c r="J17" s="85">
        <f ca="1">('TABLA PRECIOS'!$L$19+CONFIGURACION!$C$20*('TABLA PRECIOS'!$D$19+CONFIGURACION!$D$36)+IF($L$2=1,CONFIGURACION!$C$7/CONFIGURACION!$C$36,-CONFIGURACION!$C$7/($L$2*CONFIGURACION!$C$36)-CONFIGURACION!$C$55/($L$2*CONFIGURACION!$C$36)))/CONFIGURACION!$C$12+IF($L$2=1,0,-CONFIGURACION!$C$55/($L$2*CONFIGURACION!$C$36))</f>
        <v>22.390235458947419</v>
      </c>
      <c r="K17" s="83">
        <f>'TABLA PRECIOS'!$L$19+CONFIGURACION!$C$21*('TABLA PRECIOS'!$D$19+CONFIGURACION!$D$36)</f>
        <v>23.290515324214795</v>
      </c>
      <c r="L17" s="84">
        <f>'TABLA PRECIOS'!$L$19+CONFIGURACION!$C$21*('TABLA PRECIOS'!$D$19+CONFIGURACION!$D$36)+IF($L$2=1,CONFIGURACION!$C$7/CONFIGURACION!$C$36,-CONFIGURACION!$C$7/($L$2*CONFIGURACION!$C$36)-CONFIGURACION!$C$55/($L$2*CONFIGURACION!$C$36))</f>
        <v>25.040515324214795</v>
      </c>
      <c r="M17" s="85">
        <f ca="1">('TABLA PRECIOS'!$L$19+CONFIGURACION!$C$21*('TABLA PRECIOS'!$D$19+CONFIGURACION!$D$36)+IF($L$2=1,CONFIGURACION!$C$7/CONFIGURACION!$C$36,-CONFIGURACION!$C$7/($L$2*CONFIGURACION!$C$36)-CONFIGURACION!$C$55/($L$2*CONFIGURACION!$C$36)))/CONFIGURACION!$C$12+IF($L$2=1,0,-CONFIGURACION!$C$55/($L$2*CONFIGURACION!$C$36))</f>
        <v>21.512470209806526</v>
      </c>
      <c r="N17" s="83">
        <f>'TABLA PRECIOS'!$L$19+CONFIGURACION!$C$22*('TABLA PRECIOS'!$D$19+CONFIGURACION!$D$36)</f>
        <v>23.290515324214795</v>
      </c>
      <c r="O17" s="84">
        <f>'TABLA PRECIOS'!$L$19+CONFIGURACION!$C$22*('TABLA PRECIOS'!$D$19+CONFIGURACION!$D$36)+IF($L$2=1,CONFIGURACION!$C$7/CONFIGURACION!$C$36,-CONFIGURACION!$C$7/($L$2*CONFIGURACION!$C$36)-CONFIGURACION!$C$55/($L$2*CONFIGURACION!$C$36))</f>
        <v>25.040515324214795</v>
      </c>
      <c r="P17" s="85">
        <f ca="1">('TABLA PRECIOS'!$L$19+CONFIGURACION!$C$22*('TABLA PRECIOS'!$D$19+CONFIGURACION!$D$36)+IF($L$2=1,CONFIGURACION!$C$7/CONFIGURACION!$C$36,-CONFIGURACION!$C$7/($L$2*CONFIGURACION!$C$36)-CONFIGURACION!$C$55/($L$2*CONFIGURACION!$C$36)))/CONFIGURACION!$C$12+IF($L$2=1,0,-CONFIGURACION!$C$55/($L$2*CONFIGURACION!$C$36))</f>
        <v>21.512470209806526</v>
      </c>
      <c r="Q17" s="83">
        <f>'TABLA PRECIOS'!$L$19+CONFIGURACION!$C$23*('TABLA PRECIOS'!$D$19+CONFIGURACION!$D$36)</f>
        <v>23.903546574214793</v>
      </c>
      <c r="R17" s="84">
        <f>'TABLA PRECIOS'!$L$19+CONFIGURACION!$C$23*('TABLA PRECIOS'!$D$19+CONFIGURACION!$D$36)+IF($L$2=1,CONFIGURACION!$C$7/CONFIGURACION!$C$36,-CONFIGURACION!$C$7/($L$2*CONFIGURACION!$C$36)-CONFIGURACION!$C$55/($L$2*CONFIGURACION!$C$36))</f>
        <v>25.653546574214793</v>
      </c>
      <c r="S17" s="85">
        <f ca="1">('TABLA PRECIOS'!$L$19+CONFIGURACION!$C$23*('TABLA PRECIOS'!$D$19+CONFIGURACION!$D$36)+IF($L$2=1,CONFIGURACION!$C$7/CONFIGURACION!$C$36,-CONFIGURACION!$C$7/($L$2*CONFIGURACION!$C$36)-CONFIGURACION!$C$55/($L$2*CONFIGURACION!$C$36)))/CONFIGURACION!$C$12+IF($L$2=1,0,-CONFIGURACION!$C$55/($L$2*CONFIGURACION!$C$36))</f>
        <v>22.03912935929106</v>
      </c>
      <c r="T17" s="83">
        <f>'TABLA PRECIOS'!$L$19+CONFIGURACION!$C$24*('TABLA PRECIOS'!$D$19+CONFIGURACION!$D$36)</f>
        <v>30.238202824214792</v>
      </c>
      <c r="U17" s="84">
        <f>'TABLA PRECIOS'!$L$19+CONFIGURACION!$C$24*('TABLA PRECIOS'!$D$19+CONFIGURACION!$D$36)+IF($L$2=1,CONFIGURACION!$C$7/CONFIGURACION!$C$36,-CONFIGURACION!$C$7/($L$2*CONFIGURACION!$C$36)-CONFIGURACION!$C$55/($L$2*CONFIGURACION!$C$36))</f>
        <v>31.988202824214792</v>
      </c>
      <c r="V17" s="85">
        <f ca="1">('TABLA PRECIOS'!$L$19+CONFIGURACION!$C$24*('TABLA PRECIOS'!$D$19+CONFIGURACION!$D$36)+IF($L$2=1,CONFIGURACION!$C$7/CONFIGURACION!$C$36,-CONFIGURACION!$C$7/($L$2*CONFIGURACION!$C$36)-CONFIGURACION!$C$55/($L$2*CONFIGURACION!$C$36)))/CONFIGURACION!$C$12+IF($L$2=1,0,-CONFIGURACION!$C$55/($L$2*CONFIGURACION!$C$36))</f>
        <v>27.481273903964599</v>
      </c>
      <c r="W17" s="83">
        <f>'TABLA PRECIOS'!$L$19+CONFIGURACION!$C$25*('TABLA PRECIOS'!$D$19+CONFIGURACION!$D$36)</f>
        <v>24.312234074214793</v>
      </c>
      <c r="X17" s="84">
        <f>'TABLA PRECIOS'!$L$19+CONFIGURACION!$C$25*('TABLA PRECIOS'!$D$19+CONFIGURACION!$D$36)+IF($L$2=1,CONFIGURACION!$C$7/CONFIGURACION!$C$36,-CONFIGURACION!$C$7/($L$2*CONFIGURACION!$C$36)-CONFIGURACION!$C$55/($L$2*CONFIGURACION!$C$36))</f>
        <v>26.062234074214793</v>
      </c>
      <c r="Y17" s="85">
        <f ca="1">('TABLA PRECIOS'!$L$19+CONFIGURACION!$C$25*('TABLA PRECIOS'!$D$19+CONFIGURACION!$D$36)+IF($L$2=1,CONFIGURACION!$C$7/CONFIGURACION!$C$36,-CONFIGURACION!$C$7/($L$2*CONFIGURACION!$C$36)-CONFIGURACION!$C$55/($L$2*CONFIGURACION!$C$36)))/CONFIGURACION!$C$12+IF($L$2=1,0,-CONFIGURACION!$C$55/($L$2*CONFIGURACION!$C$36))</f>
        <v>22.390235458947419</v>
      </c>
      <c r="Z17" s="83">
        <f>'TABLA PRECIOS'!$L$19+CONFIGURACION!$C$26*('TABLA PRECIOS'!$D$19+CONFIGURACION!$D$36)</f>
        <v>17.364546574214792</v>
      </c>
      <c r="AA17" s="84">
        <f>'TABLA PRECIOS'!$L$19+CONFIGURACION!$C$26*('TABLA PRECIOS'!$D$19+CONFIGURACION!$D$36)+IF($L$2=1,CONFIGURACION!$C$7/CONFIGURACION!$C$36,-CONFIGURACION!$C$7/($L$2*CONFIGURACION!$C$36)-CONFIGURACION!$C$55/($L$2*CONFIGURACION!$C$36))</f>
        <v>19.114546574214792</v>
      </c>
      <c r="AB17" s="85">
        <f ca="1">('TABLA PRECIOS'!$L$19+CONFIGURACION!$C$26*('TABLA PRECIOS'!$D$19+CONFIGURACION!$D$36)+IF($L$2=1,CONFIGURACION!$C$7/CONFIGURACION!$C$36,-CONFIGURACION!$C$7/($L$2*CONFIGURACION!$C$36)-CONFIGURACION!$C$55/($L$2*CONFIGURACION!$C$36)))/CONFIGURACION!$C$12+IF($L$2=1,0,-CONFIGURACION!$C$55/($L$2*CONFIGURACION!$C$36))</f>
        <v>16.42143176478934</v>
      </c>
      <c r="AC17" s="83">
        <f>'TABLA PRECIOS'!$L$19+CONFIGURACION!$C$27*('TABLA PRECIOS'!$D$19+CONFIGURACION!$D$36)</f>
        <v>21.247077824214795</v>
      </c>
      <c r="AD17" s="84">
        <f>'TABLA PRECIOS'!$L$19+CONFIGURACION!$C$27*('TABLA PRECIOS'!$D$19+CONFIGURACION!$D$36)+IF($L$2=1,CONFIGURACION!$C$7/CONFIGURACION!$C$36,-CONFIGURACION!$C$7/($L$2*CONFIGURACION!$C$36)-CONFIGURACION!$C$55/($L$2*CONFIGURACION!$C$36))</f>
        <v>22.997077824214795</v>
      </c>
      <c r="AE17" s="85">
        <f ca="1">('TABLA PRECIOS'!$L$19+CONFIGURACION!$C$27*('TABLA PRECIOS'!$D$19+CONFIGURACION!$D$36)+IF($L$2=1,CONFIGURACION!$C$7/CONFIGURACION!$C$36,-CONFIGURACION!$C$7/($L$2*CONFIGURACION!$C$36)-CONFIGURACION!$C$55/($L$2*CONFIGURACION!$C$36)))/CONFIGURACION!$C$12+IF($L$2=1,0,-CONFIGURACION!$C$55/($L$2*CONFIGURACION!$C$36))</f>
        <v>19.75693971152474</v>
      </c>
    </row>
    <row r="18" spans="2:31" ht="17" customHeight="1" x14ac:dyDescent="0.2">
      <c r="B18" s="86" t="s">
        <v>70</v>
      </c>
      <c r="C18" s="21" t="s">
        <v>210</v>
      </c>
      <c r="D18" s="87">
        <v>4</v>
      </c>
      <c r="E18" s="88">
        <f>'TABLA PRECIOS'!$L$20+CONFIGURACION!$C$19*('TABLA PRECIOS'!$D$20+CONFIGURACION!$D$36)</f>
        <v>25.869079876508991</v>
      </c>
      <c r="F18" s="84">
        <f>'TABLA PRECIOS'!$L$20+CONFIGURACION!$C$19*('TABLA PRECIOS'!$D$20+CONFIGURACION!$D$36)+IF($L$2=1,CONFIGURACION!$C$7/CONFIGURACION!$C$36,-CONFIGURACION!$C$7/($L$2*CONFIGURACION!$C$36)-CONFIGURACION!$C$55/($L$2*CONFIGURACION!$C$36))</f>
        <v>27.619079876508991</v>
      </c>
      <c r="G18" s="85">
        <f ca="1">('TABLA PRECIOS'!$L$20+CONFIGURACION!$C$19*('TABLA PRECIOS'!$D$20+CONFIGURACION!$D$36)+IF($L$2=1,CONFIGURACION!$C$7/CONFIGURACION!$C$36,-CONFIGURACION!$C$7/($L$2*CONFIGURACION!$C$36)-CONFIGURACION!$C$55/($L$2*CONFIGURACION!$C$36)))/CONFIGURACION!$C$12+IF($L$2=1,0,-CONFIGURACION!$C$55/($L$2*CONFIGURACION!$C$36))</f>
        <v>23.727731852670956</v>
      </c>
      <c r="H18" s="88">
        <f>'TABLA PRECIOS'!$L$20+CONFIGURACION!$C$20*('TABLA PRECIOS'!$D$20+CONFIGURACION!$D$36)</f>
        <v>28.162517376508994</v>
      </c>
      <c r="I18" s="84">
        <f>'TABLA PRECIOS'!$L$20+CONFIGURACION!$C$20*('TABLA PRECIOS'!$D$20+CONFIGURACION!$D$36)+IF($L$2=1,CONFIGURACION!$C$7/CONFIGURACION!$C$36,-CONFIGURACION!$C$7/($L$2*CONFIGURACION!$C$36)-CONFIGURACION!$C$55/($L$2*CONFIGURACION!$C$36))</f>
        <v>29.912517376508994</v>
      </c>
      <c r="J18" s="85">
        <f ca="1">('TABLA PRECIOS'!$L$20+CONFIGURACION!$C$20*('TABLA PRECIOS'!$D$20+CONFIGURACION!$D$36)+IF($L$2=1,CONFIGURACION!$C$7/CONFIGURACION!$C$36,-CONFIGURACION!$C$7/($L$2*CONFIGURACION!$C$36)-CONFIGURACION!$C$55/($L$2*CONFIGURACION!$C$36)))/CONFIGURACION!$C$12+IF($L$2=1,0,-CONFIGURACION!$C$55/($L$2*CONFIGURACION!$C$36))</f>
        <v>25.698038983255152</v>
      </c>
      <c r="K18" s="88">
        <f>'TABLA PRECIOS'!$L$20+CONFIGURACION!$C$21*('TABLA PRECIOS'!$D$20+CONFIGURACION!$D$36)</f>
        <v>27.015798626508992</v>
      </c>
      <c r="L18" s="84">
        <f>'TABLA PRECIOS'!$L$20+CONFIGURACION!$C$21*('TABLA PRECIOS'!$D$20+CONFIGURACION!$D$36)+IF($L$2=1,CONFIGURACION!$C$7/CONFIGURACION!$C$36,-CONFIGURACION!$C$7/($L$2*CONFIGURACION!$C$36)-CONFIGURACION!$C$55/($L$2*CONFIGURACION!$C$36))</f>
        <v>28.765798626508992</v>
      </c>
      <c r="M18" s="85">
        <f ca="1">('TABLA PRECIOS'!$L$20+CONFIGURACION!$C$21*('TABLA PRECIOS'!$D$20+CONFIGURACION!$D$36)+IF($L$2=1,CONFIGURACION!$C$7/CONFIGURACION!$C$36,-CONFIGURACION!$C$7/($L$2*CONFIGURACION!$C$36)-CONFIGURACION!$C$55/($L$2*CONFIGURACION!$C$36)))/CONFIGURACION!$C$12+IF($L$2=1,0,-CONFIGURACION!$C$55/($L$2*CONFIGURACION!$C$36))</f>
        <v>24.712885417963054</v>
      </c>
      <c r="N18" s="88">
        <f>'TABLA PRECIOS'!$L$20+CONFIGURACION!$C$22*('TABLA PRECIOS'!$D$20+CONFIGURACION!$D$36)</f>
        <v>27.015798626508992</v>
      </c>
      <c r="O18" s="84">
        <f>'TABLA PRECIOS'!$L$20+CONFIGURACION!$C$22*('TABLA PRECIOS'!$D$20+CONFIGURACION!$D$36)+IF($L$2=1,CONFIGURACION!$C$7/CONFIGURACION!$C$36,-CONFIGURACION!$C$7/($L$2*CONFIGURACION!$C$36)-CONFIGURACION!$C$55/($L$2*CONFIGURACION!$C$36))</f>
        <v>28.765798626508992</v>
      </c>
      <c r="P18" s="85">
        <f ca="1">('TABLA PRECIOS'!$L$20+CONFIGURACION!$C$22*('TABLA PRECIOS'!$D$20+CONFIGURACION!$D$36)+IF($L$2=1,CONFIGURACION!$C$7/CONFIGURACION!$C$36,-CONFIGURACION!$C$7/($L$2*CONFIGURACION!$C$36)-CONFIGURACION!$C$55/($L$2*CONFIGURACION!$C$36)))/CONFIGURACION!$C$12+IF($L$2=1,0,-CONFIGURACION!$C$55/($L$2*CONFIGURACION!$C$36))</f>
        <v>24.712885417963054</v>
      </c>
      <c r="Q18" s="88">
        <f>'TABLA PRECIOS'!$L$20+CONFIGURACION!$C$23*('TABLA PRECIOS'!$D$20+CONFIGURACION!$D$36)</f>
        <v>27.703829876508991</v>
      </c>
      <c r="R18" s="84">
        <f>'TABLA PRECIOS'!$L$20+CONFIGURACION!$C$23*('TABLA PRECIOS'!$D$20+CONFIGURACION!$D$36)+IF($L$2=1,CONFIGURACION!$C$7/CONFIGURACION!$C$36,-CONFIGURACION!$C$7/($L$2*CONFIGURACION!$C$36)-CONFIGURACION!$C$55/($L$2*CONFIGURACION!$C$36))</f>
        <v>29.453829876508991</v>
      </c>
      <c r="S18" s="85">
        <f ca="1">('TABLA PRECIOS'!$L$20+CONFIGURACION!$C$23*('TABLA PRECIOS'!$D$20+CONFIGURACION!$D$36)+IF($L$2=1,CONFIGURACION!$C$7/CONFIGURACION!$C$36,-CONFIGURACION!$C$7/($L$2*CONFIGURACION!$C$36)-CONFIGURACION!$C$55/($L$2*CONFIGURACION!$C$36)))/CONFIGURACION!$C$12+IF($L$2=1,0,-CONFIGURACION!$C$55/($L$2*CONFIGURACION!$C$36))</f>
        <v>25.30397755713831</v>
      </c>
      <c r="T18" s="88">
        <f>'TABLA PRECIOS'!$L$20+CONFIGURACION!$C$24*('TABLA PRECIOS'!$D$20+CONFIGURACION!$D$36)</f>
        <v>34.813486126508991</v>
      </c>
      <c r="U18" s="84">
        <f>'TABLA PRECIOS'!$L$20+CONFIGURACION!$C$24*('TABLA PRECIOS'!$D$20+CONFIGURACION!$D$36)+IF($L$2=1,CONFIGURACION!$C$7/CONFIGURACION!$C$36,-CONFIGURACION!$C$7/($L$2*CONFIGURACION!$C$36)-CONFIGURACION!$C$55/($L$2*CONFIGURACION!$C$36))</f>
        <v>36.563486126508991</v>
      </c>
      <c r="V18" s="85">
        <f ca="1">('TABLA PRECIOS'!$L$20+CONFIGURACION!$C$24*('TABLA PRECIOS'!$D$20+CONFIGURACION!$D$36)+IF($L$2=1,CONFIGURACION!$C$7/CONFIGURACION!$C$36,-CONFIGURACION!$C$7/($L$2*CONFIGURACION!$C$36)-CONFIGURACION!$C$55/($L$2*CONFIGURACION!$C$36)))/CONFIGURACION!$C$12+IF($L$2=1,0,-CONFIGURACION!$C$55/($L$2*CONFIGURACION!$C$36))</f>
        <v>31.411929661949308</v>
      </c>
      <c r="W18" s="88">
        <f>'TABLA PRECIOS'!$L$20+CONFIGURACION!$C$25*('TABLA PRECIOS'!$D$20+CONFIGURACION!$D$36)</f>
        <v>28.162517376508994</v>
      </c>
      <c r="X18" s="84">
        <f>'TABLA PRECIOS'!$L$20+CONFIGURACION!$C$25*('TABLA PRECIOS'!$D$20+CONFIGURACION!$D$36)+IF($L$2=1,CONFIGURACION!$C$7/CONFIGURACION!$C$36,-CONFIGURACION!$C$7/($L$2*CONFIGURACION!$C$36)-CONFIGURACION!$C$55/($L$2*CONFIGURACION!$C$36))</f>
        <v>29.912517376508994</v>
      </c>
      <c r="Y18" s="85">
        <f ca="1">('TABLA PRECIOS'!$L$20+CONFIGURACION!$C$25*('TABLA PRECIOS'!$D$20+CONFIGURACION!$D$36)+IF($L$2=1,CONFIGURACION!$C$7/CONFIGURACION!$C$36,-CONFIGURACION!$C$7/($L$2*CONFIGURACION!$C$36)-CONFIGURACION!$C$55/($L$2*CONFIGURACION!$C$36)))/CONFIGURACION!$C$12+IF($L$2=1,0,-CONFIGURACION!$C$55/($L$2*CONFIGURACION!$C$36))</f>
        <v>25.698038983255152</v>
      </c>
      <c r="Z18" s="88">
        <f>'TABLA PRECIOS'!$L$20+CONFIGURACION!$C$26*('TABLA PRECIOS'!$D$20+CONFIGURACION!$D$36)</f>
        <v>20.364829876508992</v>
      </c>
      <c r="AA18" s="84">
        <f>'TABLA PRECIOS'!$L$20+CONFIGURACION!$C$26*('TABLA PRECIOS'!$D$20+CONFIGURACION!$D$36)+IF($L$2=1,CONFIGURACION!$C$7/CONFIGURACION!$C$36,-CONFIGURACION!$C$7/($L$2*CONFIGURACION!$C$36)-CONFIGURACION!$C$55/($L$2*CONFIGURACION!$C$36))</f>
        <v>22.114829876508992</v>
      </c>
      <c r="AB18" s="85">
        <f ca="1">('TABLA PRECIOS'!$L$20+CONFIGURACION!$C$26*('TABLA PRECIOS'!$D$20+CONFIGURACION!$D$36)+IF($L$2=1,CONFIGURACION!$C$7/CONFIGURACION!$C$36,-CONFIGURACION!$C$7/($L$2*CONFIGURACION!$C$36)-CONFIGURACION!$C$55/($L$2*CONFIGURACION!$C$36)))/CONFIGURACION!$C$12+IF($L$2=1,0,-CONFIGURACION!$C$55/($L$2*CONFIGURACION!$C$36))</f>
        <v>18.998994739268895</v>
      </c>
      <c r="AC18" s="88">
        <f>'TABLA PRECIOS'!$L$20+CONFIGURACION!$C$27*('TABLA PRECIOS'!$D$20+CONFIGURACION!$D$36)</f>
        <v>24.722361126508993</v>
      </c>
      <c r="AD18" s="84">
        <f>'TABLA PRECIOS'!$L$20+CONFIGURACION!$C$27*('TABLA PRECIOS'!$D$20+CONFIGURACION!$D$36)+IF($L$2=1,CONFIGURACION!$C$7/CONFIGURACION!$C$36,-CONFIGURACION!$C$7/($L$2*CONFIGURACION!$C$36)-CONFIGURACION!$C$55/($L$2*CONFIGURACION!$C$36))</f>
        <v>26.472361126508993</v>
      </c>
      <c r="AE18" s="85">
        <f ca="1">('TABLA PRECIOS'!$L$20+CONFIGURACION!$C$27*('TABLA PRECIOS'!$D$20+CONFIGURACION!$D$36)+IF($L$2=1,CONFIGURACION!$C$7/CONFIGURACION!$C$36,-CONFIGURACION!$C$7/($L$2*CONFIGURACION!$C$36)-CONFIGURACION!$C$55/($L$2*CONFIGURACION!$C$36)))/CONFIGURACION!$C$12+IF($L$2=1,0,-CONFIGURACION!$C$55/($L$2*CONFIGURACION!$C$36))</f>
        <v>22.742578287378862</v>
      </c>
    </row>
    <row r="19" spans="2:31" ht="17" customHeight="1" x14ac:dyDescent="0.2">
      <c r="B19" s="81" t="s">
        <v>72</v>
      </c>
      <c r="C19" s="17" t="s">
        <v>73</v>
      </c>
      <c r="D19" s="82">
        <v>2.5</v>
      </c>
      <c r="E19" s="83">
        <f>'TABLA PRECIOS'!$L$21+CONFIGURACION!$C$19*('TABLA PRECIOS'!$D$21+CONFIGURACION!$D$34)</f>
        <v>14.915034697395303</v>
      </c>
      <c r="F19" s="84">
        <f>'TABLA PRECIOS'!$L$21+CONFIGURACION!$C$19*('TABLA PRECIOS'!$D$21+CONFIGURACION!$D$34)+IF($L$2=1,CONFIGURACION!$C$7/CONFIGURACION!$C$34,-CONFIGURACION!$C$7/($L$2*CONFIGURACION!$C$34)-CONFIGURACION!$C$55/($L$2*CONFIGURACION!$C$34))</f>
        <v>16.665034697395303</v>
      </c>
      <c r="G19" s="85">
        <f ca="1">('TABLA PRECIOS'!$L$21+CONFIGURACION!$C$19*('TABLA PRECIOS'!$D$21+CONFIGURACION!$D$34)+IF($L$2=1,CONFIGURACION!$C$7/CONFIGURACION!$C$34,-CONFIGURACION!$C$7/($L$2*CONFIGURACION!$C$34)-CONFIGURACION!$C$55/($L$2*CONFIGURACION!$C$34)))/CONFIGURACION!$C$12+IF($L$2=1,0,-CONFIGURACION!$C$55/($L$2*CONFIGURACION!$C$34))</f>
        <v>14.317040118037202</v>
      </c>
      <c r="H19" s="83">
        <f>'TABLA PRECIOS'!$L$21+CONFIGURACION!$C$20*('TABLA PRECIOS'!$D$21+CONFIGURACION!$D$34)</f>
        <v>16.458472197395302</v>
      </c>
      <c r="I19" s="84">
        <f>'TABLA PRECIOS'!$L$21+CONFIGURACION!$C$20*('TABLA PRECIOS'!$D$21+CONFIGURACION!$D$34)+IF($L$2=1,CONFIGURACION!$C$7/CONFIGURACION!$C$34,-CONFIGURACION!$C$7/($L$2*CONFIGURACION!$C$34)-CONFIGURACION!$C$55/($L$2*CONFIGURACION!$C$34))</f>
        <v>18.208472197395302</v>
      </c>
      <c r="J19" s="85">
        <f ca="1">('TABLA PRECIOS'!$L$21+CONFIGURACION!$C$20*('TABLA PRECIOS'!$D$21+CONFIGURACION!$D$34)+IF($L$2=1,CONFIGURACION!$C$7/CONFIGURACION!$C$34,-CONFIGURACION!$C$7/($L$2*CONFIGURACION!$C$34)-CONFIGURACION!$C$55/($L$2*CONFIGURACION!$C$34)))/CONFIGURACION!$C$12+IF($L$2=1,0,-CONFIGURACION!$C$55/($L$2*CONFIGURACION!$C$34))</f>
        <v>15.643017351714178</v>
      </c>
      <c r="K19" s="83">
        <f>'TABLA PRECIOS'!$L$21+CONFIGURACION!$C$21*('TABLA PRECIOS'!$D$21+CONFIGURACION!$D$34)</f>
        <v>15.686753447395303</v>
      </c>
      <c r="L19" s="84">
        <f>'TABLA PRECIOS'!$L$21+CONFIGURACION!$C$21*('TABLA PRECIOS'!$D$21+CONFIGURACION!$D$34)+IF($L$2=1,CONFIGURACION!$C$7/CONFIGURACION!$C$34,-CONFIGURACION!$C$7/($L$2*CONFIGURACION!$C$34)-CONFIGURACION!$C$55/($L$2*CONFIGURACION!$C$34))</f>
        <v>17.436753447395304</v>
      </c>
      <c r="M19" s="85">
        <f ca="1">('TABLA PRECIOS'!$L$21+CONFIGURACION!$C$21*('TABLA PRECIOS'!$D$21+CONFIGURACION!$D$34)+IF($L$2=1,CONFIGURACION!$C$7/CONFIGURACION!$C$34,-CONFIGURACION!$C$7/($L$2*CONFIGURACION!$C$34)-CONFIGURACION!$C$55/($L$2*CONFIGURACION!$C$34)))/CONFIGURACION!$C$12+IF($L$2=1,0,-CONFIGURACION!$C$55/($L$2*CONFIGURACION!$C$34))</f>
        <v>14.980028734875692</v>
      </c>
      <c r="N19" s="83">
        <f>'TABLA PRECIOS'!$L$21+CONFIGURACION!$C$22*('TABLA PRECIOS'!$D$21+CONFIGURACION!$D$34)</f>
        <v>15.686753447395303</v>
      </c>
      <c r="O19" s="84">
        <f>'TABLA PRECIOS'!$L$21+CONFIGURACION!$C$22*('TABLA PRECIOS'!$D$21+CONFIGURACION!$D$34)+IF($L$2=1,CONFIGURACION!$C$7/CONFIGURACION!$C$34,-CONFIGURACION!$C$7/($L$2*CONFIGURACION!$C$34)-CONFIGURACION!$C$55/($L$2*CONFIGURACION!$C$34))</f>
        <v>17.436753447395304</v>
      </c>
      <c r="P19" s="85">
        <f ca="1">('TABLA PRECIOS'!$L$21+CONFIGURACION!$C$22*('TABLA PRECIOS'!$D$21+CONFIGURACION!$D$34)+IF($L$2=1,CONFIGURACION!$C$7/CONFIGURACION!$C$34,-CONFIGURACION!$C$7/($L$2*CONFIGURACION!$C$34)-CONFIGURACION!$C$55/($L$2*CONFIGURACION!$C$34)))/CONFIGURACION!$C$12+IF($L$2=1,0,-CONFIGURACION!$C$55/($L$2*CONFIGURACION!$C$34))</f>
        <v>14.980028734875692</v>
      </c>
      <c r="Q19" s="83">
        <f>'TABLA PRECIOS'!$L$21+CONFIGURACION!$C$23*('TABLA PRECIOS'!$D$21+CONFIGURACION!$D$34)</f>
        <v>16.149784697395301</v>
      </c>
      <c r="R19" s="84">
        <f>'TABLA PRECIOS'!$L$21+CONFIGURACION!$C$23*('TABLA PRECIOS'!$D$21+CONFIGURACION!$D$34)+IF($L$2=1,CONFIGURACION!$C$7/CONFIGURACION!$C$34,-CONFIGURACION!$C$7/($L$2*CONFIGURACION!$C$34)-CONFIGURACION!$C$55/($L$2*CONFIGURACION!$C$34))</f>
        <v>17.899784697395301</v>
      </c>
      <c r="S19" s="85">
        <f ca="1">('TABLA PRECIOS'!$L$21+CONFIGURACION!$C$23*('TABLA PRECIOS'!$D$21+CONFIGURACION!$D$34)+IF($L$2=1,CONFIGURACION!$C$7/CONFIGURACION!$C$34,-CONFIGURACION!$C$7/($L$2*CONFIGURACION!$C$34)-CONFIGURACION!$C$55/($L$2*CONFIGURACION!$C$34)))/CONFIGURACION!$C$12+IF($L$2=1,0,-CONFIGURACION!$C$55/($L$2*CONFIGURACION!$C$34))</f>
        <v>15.377821904978783</v>
      </c>
      <c r="T19" s="83">
        <f>'TABLA PRECIOS'!$L$21+CONFIGURACION!$C$24*('TABLA PRECIOS'!$D$21+CONFIGURACION!$D$34)</f>
        <v>20.934440947395302</v>
      </c>
      <c r="U19" s="84">
        <f>'TABLA PRECIOS'!$L$21+CONFIGURACION!$C$24*('TABLA PRECIOS'!$D$21+CONFIGURACION!$D$34)+IF($L$2=1,CONFIGURACION!$C$7/CONFIGURACION!$C$34,-CONFIGURACION!$C$7/($L$2*CONFIGURACION!$C$34)-CONFIGURACION!$C$55/($L$2*CONFIGURACION!$C$34))</f>
        <v>22.684440947395302</v>
      </c>
      <c r="V19" s="85">
        <f ca="1">('TABLA PRECIOS'!$L$21+CONFIGURACION!$C$24*('TABLA PRECIOS'!$D$21+CONFIGURACION!$D$34)+IF($L$2=1,CONFIGURACION!$C$7/CONFIGURACION!$C$34,-CONFIGURACION!$C$7/($L$2*CONFIGURACION!$C$34)-CONFIGURACION!$C$55/($L$2*CONFIGURACION!$C$34)))/CONFIGURACION!$C$12+IF($L$2=1,0,-CONFIGURACION!$C$55/($L$2*CONFIGURACION!$C$34))</f>
        <v>19.488351329377409</v>
      </c>
      <c r="W19" s="83">
        <f>'TABLA PRECIOS'!$L$21+CONFIGURACION!$C$25*('TABLA PRECIOS'!$D$21+CONFIGURACION!$D$34)</f>
        <v>16.458472197395302</v>
      </c>
      <c r="X19" s="84">
        <f>'TABLA PRECIOS'!$L$21+CONFIGURACION!$C$25*('TABLA PRECIOS'!$D$21+CONFIGURACION!$D$34)+IF($L$2=1,CONFIGURACION!$C$7/CONFIGURACION!$C$34,-CONFIGURACION!$C$7/($L$2*CONFIGURACION!$C$34)-CONFIGURACION!$C$55/($L$2*CONFIGURACION!$C$34))</f>
        <v>18.208472197395302</v>
      </c>
      <c r="Y19" s="85">
        <f ca="1">('TABLA PRECIOS'!$L$21+CONFIGURACION!$C$25*('TABLA PRECIOS'!$D$21+CONFIGURACION!$D$34)+IF($L$2=1,CONFIGURACION!$C$7/CONFIGURACION!$C$34,-CONFIGURACION!$C$7/($L$2*CONFIGURACION!$C$34)-CONFIGURACION!$C$55/($L$2*CONFIGURACION!$C$34)))/CONFIGURACION!$C$12+IF($L$2=1,0,-CONFIGURACION!$C$55/($L$2*CONFIGURACION!$C$34))</f>
        <v>15.643017351714178</v>
      </c>
      <c r="Z19" s="83">
        <f>'TABLA PRECIOS'!$L$21+CONFIGURACION!$C$26*('TABLA PRECIOS'!$D$21+CONFIGURACION!$D$34)</f>
        <v>11.210784697395301</v>
      </c>
      <c r="AA19" s="84">
        <f>'TABLA PRECIOS'!$L$21+CONFIGURACION!$C$26*('TABLA PRECIOS'!$D$21+CONFIGURACION!$D$34)+IF($L$2=1,CONFIGURACION!$C$7/CONFIGURACION!$C$34,-CONFIGURACION!$C$7/($L$2*CONFIGURACION!$C$34)-CONFIGURACION!$C$55/($L$2*CONFIGURACION!$C$34))</f>
        <v>12.960784697395301</v>
      </c>
      <c r="AB19" s="85">
        <f ca="1">('TABLA PRECIOS'!$L$21+CONFIGURACION!$C$26*('TABLA PRECIOS'!$D$21+CONFIGURACION!$D$34)+IF($L$2=1,CONFIGURACION!$C$7/CONFIGURACION!$C$34,-CONFIGURACION!$C$7/($L$2*CONFIGURACION!$C$34)-CONFIGURACION!$C$55/($L$2*CONFIGURACION!$C$34)))/CONFIGURACION!$C$12+IF($L$2=1,0,-CONFIGURACION!$C$55/($L$2*CONFIGURACION!$C$34))</f>
        <v>11.134694757212458</v>
      </c>
      <c r="AC19" s="83">
        <f>'TABLA PRECIOS'!$L$21+CONFIGURACION!$C$27*('TABLA PRECIOS'!$D$21+CONFIGURACION!$D$34)</f>
        <v>14.143315947395301</v>
      </c>
      <c r="AD19" s="84">
        <f>'TABLA PRECIOS'!$L$21+CONFIGURACION!$C$27*('TABLA PRECIOS'!$D$21+CONFIGURACION!$D$34)+IF($L$2=1,CONFIGURACION!$C$7/CONFIGURACION!$C$34,-CONFIGURACION!$C$7/($L$2*CONFIGURACION!$C$34)-CONFIGURACION!$C$55/($L$2*CONFIGURACION!$C$34))</f>
        <v>15.893315947395301</v>
      </c>
      <c r="AE19" s="85">
        <f ca="1">('TABLA PRECIOS'!$L$21+CONFIGURACION!$C$27*('TABLA PRECIOS'!$D$21+CONFIGURACION!$D$34)+IF($L$2=1,CONFIGURACION!$C$7/CONFIGURACION!$C$34,-CONFIGURACION!$C$7/($L$2*CONFIGURACION!$C$34)-CONFIGURACION!$C$55/($L$2*CONFIGURACION!$C$34)))/CONFIGURACION!$C$12+IF($L$2=1,0,-CONFIGURACION!$C$55/($L$2*CONFIGURACION!$C$34))</f>
        <v>13.654051501198714</v>
      </c>
    </row>
    <row r="20" spans="2:31" ht="17" customHeight="1" x14ac:dyDescent="0.2">
      <c r="B20" s="86" t="s">
        <v>74</v>
      </c>
      <c r="C20" s="21" t="s">
        <v>75</v>
      </c>
      <c r="D20" s="87">
        <v>1.25</v>
      </c>
      <c r="E20" s="88">
        <f>'TABLA PRECIOS'!$L$22+CONFIGURACION!$C$19*('TABLA PRECIOS'!$D$22+CONFIGURACION!$D$38)</f>
        <v>13.963688368942233</v>
      </c>
      <c r="F20" s="84">
        <f>'TABLA PRECIOS'!$L$22+CONFIGURACION!$C$19*('TABLA PRECIOS'!$D$22+CONFIGURACION!$D$38)+IF($L$2=1,CONFIGURACION!$C$7/CONFIGURACION!$C$38,-CONFIGURACION!$C$7/($L$2*CONFIGURACION!$C$38)-CONFIGURACION!$C$55/($L$2*CONFIGURACION!$C$38))</f>
        <v>15.713688368942233</v>
      </c>
      <c r="G20" s="85">
        <f ca="1">('TABLA PRECIOS'!$L$22+CONFIGURACION!$C$19*('TABLA PRECIOS'!$D$22+CONFIGURACION!$D$38)+IF($L$2=1,CONFIGURACION!$C$7/CONFIGURACION!$C$38,-CONFIGURACION!$C$7/($L$2*CONFIGURACION!$C$38)-CONFIGURACION!$C$55/($L$2*CONFIGURACION!$C$38)))/CONFIGURACION!$C$12+IF($L$2=1,0,-CONFIGURACION!$C$55/($L$2*CONFIGURACION!$C$38))</f>
        <v>13.499732275723568</v>
      </c>
      <c r="H20" s="88">
        <f>'TABLA PRECIOS'!$L$22+CONFIGURACION!$C$20*('TABLA PRECIOS'!$D$22+CONFIGURACION!$D$38)</f>
        <v>14.882125868942232</v>
      </c>
      <c r="I20" s="84">
        <f>'TABLA PRECIOS'!$L$22+CONFIGURACION!$C$20*('TABLA PRECIOS'!$D$22+CONFIGURACION!$D$38)+IF($L$2=1,CONFIGURACION!$C$7/CONFIGURACION!$C$38,-CONFIGURACION!$C$7/($L$2*CONFIGURACION!$C$38)-CONFIGURACION!$C$55/($L$2*CONFIGURACION!$C$38))</f>
        <v>16.632125868942232</v>
      </c>
      <c r="J20" s="85">
        <f ca="1">('TABLA PRECIOS'!$L$22+CONFIGURACION!$C$20*('TABLA PRECIOS'!$D$22+CONFIGURACION!$D$38)+IF($L$2=1,CONFIGURACION!$C$7/CONFIGURACION!$C$38,-CONFIGURACION!$C$7/($L$2*CONFIGURACION!$C$38)-CONFIGURACION!$C$55/($L$2*CONFIGURACION!$C$38)))/CONFIGURACION!$C$12+IF($L$2=1,0,-CONFIGURACION!$C$55/($L$2*CONFIGURACION!$C$38))</f>
        <v>14.28876792864453</v>
      </c>
      <c r="K20" s="88">
        <f>'TABLA PRECIOS'!$L$22+CONFIGURACION!$C$21*('TABLA PRECIOS'!$D$22+CONFIGURACION!$D$38)</f>
        <v>14.422907118942231</v>
      </c>
      <c r="L20" s="84">
        <f>'TABLA PRECIOS'!$L$22+CONFIGURACION!$C$21*('TABLA PRECIOS'!$D$22+CONFIGURACION!$D$38)+IF($L$2=1,CONFIGURACION!$C$7/CONFIGURACION!$C$38,-CONFIGURACION!$C$7/($L$2*CONFIGURACION!$C$38)-CONFIGURACION!$C$55/($L$2*CONFIGURACION!$C$38))</f>
        <v>16.172907118942231</v>
      </c>
      <c r="M20" s="85">
        <f ca="1">('TABLA PRECIOS'!$L$22+CONFIGURACION!$C$21*('TABLA PRECIOS'!$D$22+CONFIGURACION!$D$38)+IF($L$2=1,CONFIGURACION!$C$7/CONFIGURACION!$C$38,-CONFIGURACION!$C$7/($L$2*CONFIGURACION!$C$38)-CONFIGURACION!$C$55/($L$2*CONFIGURACION!$C$38)))/CONFIGURACION!$C$12+IF($L$2=1,0,-CONFIGURACION!$C$55/($L$2*CONFIGURACION!$C$38))</f>
        <v>13.894250102184047</v>
      </c>
      <c r="N20" s="88">
        <f>'TABLA PRECIOS'!$L$22+CONFIGURACION!$C$22*('TABLA PRECIOS'!$D$22+CONFIGURACION!$D$38)</f>
        <v>14.422907118942231</v>
      </c>
      <c r="O20" s="84">
        <f>'TABLA PRECIOS'!$L$22+CONFIGURACION!$C$22*('TABLA PRECIOS'!$D$22+CONFIGURACION!$D$38)+IF($L$2=1,CONFIGURACION!$C$7/CONFIGURACION!$C$38,-CONFIGURACION!$C$7/($L$2*CONFIGURACION!$C$38)-CONFIGURACION!$C$55/($L$2*CONFIGURACION!$C$38))</f>
        <v>16.172907118942231</v>
      </c>
      <c r="P20" s="85">
        <f ca="1">('TABLA PRECIOS'!$L$22+CONFIGURACION!$C$22*('TABLA PRECIOS'!$D$22+CONFIGURACION!$D$38)+IF($L$2=1,CONFIGURACION!$C$7/CONFIGURACION!$C$38,-CONFIGURACION!$C$7/($L$2*CONFIGURACION!$C$38)-CONFIGURACION!$C$55/($L$2*CONFIGURACION!$C$38)))/CONFIGURACION!$C$12+IF($L$2=1,0,-CONFIGURACION!$C$55/($L$2*CONFIGURACION!$C$38))</f>
        <v>13.894250102184047</v>
      </c>
      <c r="Q20" s="88">
        <f>'TABLA PRECIOS'!$L$22+CONFIGURACION!$C$23*('TABLA PRECIOS'!$D$22+CONFIGURACION!$D$38)</f>
        <v>14.698438368942231</v>
      </c>
      <c r="R20" s="84">
        <f>'TABLA PRECIOS'!$L$22+CONFIGURACION!$C$23*('TABLA PRECIOS'!$D$22+CONFIGURACION!$D$38)+IF($L$2=1,CONFIGURACION!$C$7/CONFIGURACION!$C$38,-CONFIGURACION!$C$7/($L$2*CONFIGURACION!$C$38)-CONFIGURACION!$C$55/($L$2*CONFIGURACION!$C$38))</f>
        <v>16.448438368942231</v>
      </c>
      <c r="S20" s="85">
        <f ca="1">('TABLA PRECIOS'!$L$22+CONFIGURACION!$C$23*('TABLA PRECIOS'!$D$22+CONFIGURACION!$D$38)+IF($L$2=1,CONFIGURACION!$C$7/CONFIGURACION!$C$38,-CONFIGURACION!$C$7/($L$2*CONFIGURACION!$C$38)-CONFIGURACION!$C$55/($L$2*CONFIGURACION!$C$38)))/CONFIGURACION!$C$12+IF($L$2=1,0,-CONFIGURACION!$C$55/($L$2*CONFIGURACION!$C$38))</f>
        <v>14.130960798060336</v>
      </c>
      <c r="T20" s="88">
        <f>'TABLA PRECIOS'!$L$22+CONFIGURACION!$C$24*('TABLA PRECIOS'!$D$22+CONFIGURACION!$D$38)</f>
        <v>17.545594618942232</v>
      </c>
      <c r="U20" s="84">
        <f>'TABLA PRECIOS'!$L$22+CONFIGURACION!$C$24*('TABLA PRECIOS'!$D$22+CONFIGURACION!$D$38)+IF($L$2=1,CONFIGURACION!$C$7/CONFIGURACION!$C$38,-CONFIGURACION!$C$7/($L$2*CONFIGURACION!$C$38)-CONFIGURACION!$C$55/($L$2*CONFIGURACION!$C$38))</f>
        <v>19.295594618942232</v>
      </c>
      <c r="V20" s="85">
        <f ca="1">('TABLA PRECIOS'!$L$22+CONFIGURACION!$C$24*('TABLA PRECIOS'!$D$22+CONFIGURACION!$D$38)+IF($L$2=1,CONFIGURACION!$C$7/CONFIGURACION!$C$38,-CONFIGURACION!$C$7/($L$2*CONFIGURACION!$C$38)-CONFIGURACION!$C$55/($L$2*CONFIGURACION!$C$38)))/CONFIGURACION!$C$12+IF($L$2=1,0,-CONFIGURACION!$C$55/($L$2*CONFIGURACION!$C$38))</f>
        <v>16.57697132211532</v>
      </c>
      <c r="W20" s="88">
        <f>'TABLA PRECIOS'!$L$22+CONFIGURACION!$C$25*('TABLA PRECIOS'!$D$22+CONFIGURACION!$D$38)</f>
        <v>14.882125868942232</v>
      </c>
      <c r="X20" s="84">
        <f>'TABLA PRECIOS'!$L$22+CONFIGURACION!$C$25*('TABLA PRECIOS'!$D$22+CONFIGURACION!$D$38)+IF($L$2=1,CONFIGURACION!$C$7/CONFIGURACION!$C$38,-CONFIGURACION!$C$7/($L$2*CONFIGURACION!$C$38)-CONFIGURACION!$C$55/($L$2*CONFIGURACION!$C$38))</f>
        <v>16.632125868942232</v>
      </c>
      <c r="Y20" s="85">
        <f ca="1">('TABLA PRECIOS'!$L$22+CONFIGURACION!$C$25*('TABLA PRECIOS'!$D$22+CONFIGURACION!$D$38)+IF($L$2=1,CONFIGURACION!$C$7/CONFIGURACION!$C$38,-CONFIGURACION!$C$7/($L$2*CONFIGURACION!$C$38)-CONFIGURACION!$C$55/($L$2*CONFIGURACION!$C$38)))/CONFIGURACION!$C$12+IF($L$2=1,0,-CONFIGURACION!$C$55/($L$2*CONFIGURACION!$C$38))</f>
        <v>14.28876792864453</v>
      </c>
      <c r="Z20" s="88">
        <f>'TABLA PRECIOS'!$L$22+CONFIGURACION!$C$26*('TABLA PRECIOS'!$D$22+CONFIGURACION!$D$38)</f>
        <v>11.759438368942231</v>
      </c>
      <c r="AA20" s="84">
        <f>'TABLA PRECIOS'!$L$22+CONFIGURACION!$C$26*('TABLA PRECIOS'!$D$22+CONFIGURACION!$D$38)+IF($L$2=1,CONFIGURACION!$C$7/CONFIGURACION!$C$38,-CONFIGURACION!$C$7/($L$2*CONFIGURACION!$C$38)-CONFIGURACION!$C$55/($L$2*CONFIGURACION!$C$38))</f>
        <v>13.509438368942231</v>
      </c>
      <c r="AB20" s="85">
        <f ca="1">('TABLA PRECIOS'!$L$22+CONFIGURACION!$C$26*('TABLA PRECIOS'!$D$22+CONFIGURACION!$D$38)+IF($L$2=1,CONFIGURACION!$C$7/CONFIGURACION!$C$38,-CONFIGURACION!$C$7/($L$2*CONFIGURACION!$C$38)-CONFIGURACION!$C$55/($L$2*CONFIGURACION!$C$38)))/CONFIGURACION!$C$12+IF($L$2=1,0,-CONFIGURACION!$C$55/($L$2*CONFIGURACION!$C$38))</f>
        <v>11.606046708713258</v>
      </c>
      <c r="AC20" s="88">
        <f>'TABLA PRECIOS'!$L$22+CONFIGURACION!$C$27*('TABLA PRECIOS'!$D$22+CONFIGURACION!$D$38)</f>
        <v>13.504469618942231</v>
      </c>
      <c r="AD20" s="84">
        <f>'TABLA PRECIOS'!$L$22+CONFIGURACION!$C$27*('TABLA PRECIOS'!$D$22+CONFIGURACION!$D$38)+IF($L$2=1,CONFIGURACION!$C$7/CONFIGURACION!$C$38,-CONFIGURACION!$C$7/($L$2*CONFIGURACION!$C$38)-CONFIGURACION!$C$55/($L$2*CONFIGURACION!$C$38))</f>
        <v>15.254469618942231</v>
      </c>
      <c r="AE20" s="85">
        <f ca="1">('TABLA PRECIOS'!$L$22+CONFIGURACION!$C$27*('TABLA PRECIOS'!$D$22+CONFIGURACION!$D$38)+IF($L$2=1,CONFIGURACION!$C$7/CONFIGURACION!$C$38,-CONFIGURACION!$C$7/($L$2*CONFIGURACION!$C$38)-CONFIGURACION!$C$55/($L$2*CONFIGURACION!$C$38)))/CONFIGURACION!$C$12+IF($L$2=1,0,-CONFIGURACION!$C$55/($L$2*CONFIGURACION!$C$38))</f>
        <v>13.105214449263086</v>
      </c>
    </row>
    <row r="21" spans="2:31" ht="17" customHeight="1" x14ac:dyDescent="0.2">
      <c r="B21" s="81" t="s">
        <v>76</v>
      </c>
      <c r="C21" s="17" t="s">
        <v>77</v>
      </c>
      <c r="D21" s="82">
        <v>1.5</v>
      </c>
      <c r="E21" s="83">
        <f>'TABLA PRECIOS'!$L$25+CONFIGURACION!$C$19*('TABLA PRECIOS'!$D$25+CONFIGURACION!$D$39)</f>
        <v>23.229502408211324</v>
      </c>
      <c r="F21" s="84">
        <f>'TABLA PRECIOS'!$L$25+CONFIGURACION!$C$19*('TABLA PRECIOS'!$D$25+CONFIGURACION!$D$39)+IF($L$2=1,CONFIGURACION!$C$7/CONFIGURACION!$C$39,-CONFIGURACION!$C$7/($L$2*CONFIGURACION!$C$39)-CONFIGURACION!$C$55/($L$2*CONFIGURACION!$C$39))</f>
        <v>24.979502408211324</v>
      </c>
      <c r="G21" s="85">
        <f ca="1">('TABLA PRECIOS'!$L$25+CONFIGURACION!$C$19*('TABLA PRECIOS'!$D$25+CONFIGURACION!$D$39)+IF($L$2=1,CONFIGURACION!$C$7/CONFIGURACION!$C$39,-CONFIGURACION!$C$7/($L$2*CONFIGURACION!$C$39)-CONFIGURACION!$C$55/($L$2*CONFIGURACION!$C$39)))/CONFIGURACION!$C$12+IF($L$2=1,0,-CONFIGURACION!$C$55/($L$2*CONFIGURACION!$C$39))</f>
        <v>21.460053615301828</v>
      </c>
      <c r="H21" s="83">
        <f>'TABLA PRECIOS'!$L$25+CONFIGURACION!$C$20*('TABLA PRECIOS'!$D$25+CONFIGURACION!$D$39)</f>
        <v>25.522939908211328</v>
      </c>
      <c r="I21" s="84">
        <f>'TABLA PRECIOS'!$L$25+CONFIGURACION!$C$20*('TABLA PRECIOS'!$D$25+CONFIGURACION!$D$39)+IF($L$2=1,CONFIGURACION!$C$7/CONFIGURACION!$C$39,-CONFIGURACION!$C$7/($L$2*CONFIGURACION!$C$39)-CONFIGURACION!$C$55/($L$2*CONFIGURACION!$C$39))</f>
        <v>27.272939908211328</v>
      </c>
      <c r="J21" s="85">
        <f ca="1">('TABLA PRECIOS'!$L$25+CONFIGURACION!$C$20*('TABLA PRECIOS'!$D$25+CONFIGURACION!$D$39)+IF($L$2=1,CONFIGURACION!$C$7/CONFIGURACION!$C$39,-CONFIGURACION!$C$7/($L$2*CONFIGURACION!$C$39)-CONFIGURACION!$C$55/($L$2*CONFIGURACION!$C$39)))/CONFIGURACION!$C$12+IF($L$2=1,0,-CONFIGURACION!$C$55/($L$2*CONFIGURACION!$C$39))</f>
        <v>23.430360745886023</v>
      </c>
      <c r="K21" s="83">
        <f>'TABLA PRECIOS'!$L$25+CONFIGURACION!$C$21*('TABLA PRECIOS'!$D$25+CONFIGURACION!$D$39)</f>
        <v>24.37622115821133</v>
      </c>
      <c r="L21" s="84">
        <f>'TABLA PRECIOS'!$L$25+CONFIGURACION!$C$21*('TABLA PRECIOS'!$D$25+CONFIGURACION!$D$39)+IF($L$2=1,CONFIGURACION!$C$7/CONFIGURACION!$C$39,-CONFIGURACION!$C$7/($L$2*CONFIGURACION!$C$39)-CONFIGURACION!$C$55/($L$2*CONFIGURACION!$C$39))</f>
        <v>26.12622115821133</v>
      </c>
      <c r="M21" s="85">
        <f ca="1">('TABLA PRECIOS'!$L$25+CONFIGURACION!$C$21*('TABLA PRECIOS'!$D$25+CONFIGURACION!$D$39)+IF($L$2=1,CONFIGURACION!$C$7/CONFIGURACION!$C$39,-CONFIGURACION!$C$7/($L$2*CONFIGURACION!$C$39)-CONFIGURACION!$C$55/($L$2*CONFIGURACION!$C$39)))/CONFIGURACION!$C$12+IF($L$2=1,0,-CONFIGURACION!$C$55/($L$2*CONFIGURACION!$C$39))</f>
        <v>22.445207180593926</v>
      </c>
      <c r="N21" s="83">
        <f>'TABLA PRECIOS'!$L$25+CONFIGURACION!$C$22*('TABLA PRECIOS'!$D$25+CONFIGURACION!$D$39)</f>
        <v>24.37622115821133</v>
      </c>
      <c r="O21" s="84">
        <f>'TABLA PRECIOS'!$L$25+CONFIGURACION!$C$22*('TABLA PRECIOS'!$D$25+CONFIGURACION!$D$39)+IF($L$2=1,CONFIGURACION!$C$7/CONFIGURACION!$C$39,-CONFIGURACION!$C$7/($L$2*CONFIGURACION!$C$39)-CONFIGURACION!$C$55/($L$2*CONFIGURACION!$C$39))</f>
        <v>26.12622115821133</v>
      </c>
      <c r="P21" s="85">
        <f ca="1">('TABLA PRECIOS'!$L$25+CONFIGURACION!$C$22*('TABLA PRECIOS'!$D$25+CONFIGURACION!$D$39)+IF($L$2=1,CONFIGURACION!$C$7/CONFIGURACION!$C$39,-CONFIGURACION!$C$7/($L$2*CONFIGURACION!$C$39)-CONFIGURACION!$C$55/($L$2*CONFIGURACION!$C$39)))/CONFIGURACION!$C$12+IF($L$2=1,0,-CONFIGURACION!$C$55/($L$2*CONFIGURACION!$C$39))</f>
        <v>22.445207180593926</v>
      </c>
      <c r="Q21" s="83">
        <f>'TABLA PRECIOS'!$L$25+CONFIGURACION!$C$23*('TABLA PRECIOS'!$D$25+CONFIGURACION!$D$39)</f>
        <v>25.064252408211324</v>
      </c>
      <c r="R21" s="84">
        <f>'TABLA PRECIOS'!$L$25+CONFIGURACION!$C$23*('TABLA PRECIOS'!$D$25+CONFIGURACION!$D$39)+IF($L$2=1,CONFIGURACION!$C$7/CONFIGURACION!$C$39,-CONFIGURACION!$C$7/($L$2*CONFIGURACION!$C$39)-CONFIGURACION!$C$55/($L$2*CONFIGURACION!$C$39))</f>
        <v>26.814252408211324</v>
      </c>
      <c r="S21" s="85">
        <f ca="1">('TABLA PRECIOS'!$L$25+CONFIGURACION!$C$23*('TABLA PRECIOS'!$D$25+CONFIGURACION!$D$39)+IF($L$2=1,CONFIGURACION!$C$7/CONFIGURACION!$C$39,-CONFIGURACION!$C$7/($L$2*CONFIGURACION!$C$39)-CONFIGURACION!$C$55/($L$2*CONFIGURACION!$C$39)))/CONFIGURACION!$C$12+IF($L$2=1,0,-CONFIGURACION!$C$55/($L$2*CONFIGURACION!$C$39))</f>
        <v>23.036299319769181</v>
      </c>
      <c r="T21" s="83">
        <f>'TABLA PRECIOS'!$L$25+CONFIGURACION!$C$24*('TABLA PRECIOS'!$D$25+CONFIGURACION!$D$39)</f>
        <v>32.173908658211325</v>
      </c>
      <c r="U21" s="84">
        <f>'TABLA PRECIOS'!$L$25+CONFIGURACION!$C$24*('TABLA PRECIOS'!$D$25+CONFIGURACION!$D$39)+IF($L$2=1,CONFIGURACION!$C$7/CONFIGURACION!$C$39,-CONFIGURACION!$C$7/($L$2*CONFIGURACION!$C$39)-CONFIGURACION!$C$55/($L$2*CONFIGURACION!$C$39))</f>
        <v>33.923908658211325</v>
      </c>
      <c r="V21" s="85">
        <f ca="1">('TABLA PRECIOS'!$L$25+CONFIGURACION!$C$24*('TABLA PRECIOS'!$D$25+CONFIGURACION!$D$39)+IF($L$2=1,CONFIGURACION!$C$7/CONFIGURACION!$C$39,-CONFIGURACION!$C$7/($L$2*CONFIGURACION!$C$39)-CONFIGURACION!$C$55/($L$2*CONFIGURACION!$C$39)))/CONFIGURACION!$C$12+IF($L$2=1,0,-CONFIGURACION!$C$55/($L$2*CONFIGURACION!$C$39))</f>
        <v>29.144251424580176</v>
      </c>
      <c r="W21" s="83">
        <f>'TABLA PRECIOS'!$L$25+CONFIGURACION!$C$25*('TABLA PRECIOS'!$D$25+CONFIGURACION!$D$39)</f>
        <v>25.522939908211328</v>
      </c>
      <c r="X21" s="84">
        <f>'TABLA PRECIOS'!$L$25+CONFIGURACION!$C$25*('TABLA PRECIOS'!$D$25+CONFIGURACION!$D$39)+IF($L$2=1,CONFIGURACION!$C$7/CONFIGURACION!$C$39,-CONFIGURACION!$C$7/($L$2*CONFIGURACION!$C$39)-CONFIGURACION!$C$55/($L$2*CONFIGURACION!$C$39))</f>
        <v>27.272939908211328</v>
      </c>
      <c r="Y21" s="85">
        <f ca="1">('TABLA PRECIOS'!$L$25+CONFIGURACION!$C$25*('TABLA PRECIOS'!$D$25+CONFIGURACION!$D$39)+IF($L$2=1,CONFIGURACION!$C$7/CONFIGURACION!$C$39,-CONFIGURACION!$C$7/($L$2*CONFIGURACION!$C$39)-CONFIGURACION!$C$55/($L$2*CONFIGURACION!$C$39)))/CONFIGURACION!$C$12+IF($L$2=1,0,-CONFIGURACION!$C$55/($L$2*CONFIGURACION!$C$39))</f>
        <v>23.430360745886023</v>
      </c>
      <c r="Z21" s="83">
        <f>'TABLA PRECIOS'!$L$25+CONFIGURACION!$C$26*('TABLA PRECIOS'!$D$25+CONFIGURACION!$D$39)</f>
        <v>17.725252408211325</v>
      </c>
      <c r="AA21" s="84">
        <f>'TABLA PRECIOS'!$L$25+CONFIGURACION!$C$26*('TABLA PRECIOS'!$D$25+CONFIGURACION!$D$39)+IF($L$2=1,CONFIGURACION!$C$7/CONFIGURACION!$C$39,-CONFIGURACION!$C$7/($L$2*CONFIGURACION!$C$39)-CONFIGURACION!$C$55/($L$2*CONFIGURACION!$C$39))</f>
        <v>19.475252408211325</v>
      </c>
      <c r="AB21" s="85">
        <f ca="1">('TABLA PRECIOS'!$L$25+CONFIGURACION!$C$26*('TABLA PRECIOS'!$D$25+CONFIGURACION!$D$39)+IF($L$2=1,CONFIGURACION!$C$7/CONFIGURACION!$C$39,-CONFIGURACION!$C$7/($L$2*CONFIGURACION!$C$39)-CONFIGURACION!$C$55/($L$2*CONFIGURACION!$C$39)))/CONFIGURACION!$C$12+IF($L$2=1,0,-CONFIGURACION!$C$55/($L$2*CONFIGURACION!$C$39))</f>
        <v>16.731316501899766</v>
      </c>
      <c r="AC21" s="83">
        <f>'TABLA PRECIOS'!$L$25+CONFIGURACION!$C$27*('TABLA PRECIOS'!$D$25+CONFIGURACION!$D$39)</f>
        <v>22.082783658211326</v>
      </c>
      <c r="AD21" s="84">
        <f>'TABLA PRECIOS'!$L$25+CONFIGURACION!$C$27*('TABLA PRECIOS'!$D$25+CONFIGURACION!$D$39)+IF($L$2=1,CONFIGURACION!$C$7/CONFIGURACION!$C$39,-CONFIGURACION!$C$7/($L$2*CONFIGURACION!$C$39)-CONFIGURACION!$C$55/($L$2*CONFIGURACION!$C$39))</f>
        <v>23.832783658211326</v>
      </c>
      <c r="AE21" s="85">
        <f ca="1">('TABLA PRECIOS'!$L$25+CONFIGURACION!$C$27*('TABLA PRECIOS'!$D$25+CONFIGURACION!$D$39)+IF($L$2=1,CONFIGURACION!$C$7/CONFIGURACION!$C$39,-CONFIGURACION!$C$7/($L$2*CONFIGURACION!$C$39)-CONFIGURACION!$C$55/($L$2*CONFIGURACION!$C$39)))/CONFIGURACION!$C$12+IF($L$2=1,0,-CONFIGURACION!$C$55/($L$2*CONFIGURACION!$C$39))</f>
        <v>20.474900050009733</v>
      </c>
    </row>
    <row r="23" spans="2:31" ht="13" customHeight="1" x14ac:dyDescent="0.2">
      <c r="B23" s="163" t="s">
        <v>211</v>
      </c>
      <c r="C23" s="147"/>
      <c r="D23" s="147"/>
      <c r="E23" s="147"/>
      <c r="F23" s="147"/>
      <c r="G23" s="147"/>
      <c r="H23" s="147"/>
      <c r="I23" s="147"/>
      <c r="J23" s="147"/>
      <c r="K23" s="147"/>
      <c r="L23" s="147"/>
      <c r="M23" s="147"/>
      <c r="N23" s="147"/>
      <c r="O23" s="147"/>
      <c r="P23" s="147"/>
      <c r="Q23" s="147"/>
      <c r="R23" s="147"/>
      <c r="S23" s="147"/>
      <c r="T23" s="147"/>
      <c r="U23" s="147"/>
      <c r="V23" s="147"/>
      <c r="W23" s="147"/>
      <c r="X23" s="147"/>
      <c r="Y23" s="147"/>
      <c r="Z23" s="147"/>
      <c r="AA23" s="147"/>
      <c r="AB23" s="147"/>
      <c r="AC23" s="147"/>
      <c r="AD23" s="147"/>
      <c r="AE23" s="147"/>
    </row>
  </sheetData>
  <mergeCells count="13">
    <mergeCell ref="B2:I2"/>
    <mergeCell ref="W3:Y3"/>
    <mergeCell ref="A1:AE1"/>
    <mergeCell ref="B23:AE23"/>
    <mergeCell ref="T3:V3"/>
    <mergeCell ref="AC3:AE3"/>
    <mergeCell ref="M2:P2"/>
    <mergeCell ref="E3:G3"/>
    <mergeCell ref="K3:M3"/>
    <mergeCell ref="H3:J3"/>
    <mergeCell ref="Z3:AB3"/>
    <mergeCell ref="N3:P3"/>
    <mergeCell ref="Q3:S3"/>
  </mergeCells>
  <dataValidations count="1">
    <dataValidation type="list" sqref="L2" xr:uid="{00000000-0002-0000-0200-000000000000}">
      <formula1>"1,2,3,4,5,6,7,8,9,10,11,12"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CONFIGURACION</vt:lpstr>
      <vt:lpstr>TABLA PRECIOS</vt:lpstr>
      <vt:lpstr>TODOS DESTINOS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Oliver Cárdenas</cp:lastModifiedBy>
  <dcterms:created xsi:type="dcterms:W3CDTF">2026-05-12T21:18:54Z</dcterms:created>
  <dcterms:modified xsi:type="dcterms:W3CDTF">2026-05-25T13:28:56Z</dcterms:modified>
</cp:coreProperties>
</file>